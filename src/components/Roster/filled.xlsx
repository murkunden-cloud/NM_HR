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RO\Roster\"/>
    </mc:Choice>
  </mc:AlternateContent>
  <xr:revisionPtr revIDLastSave="0" documentId="13_ncr:1_{6DE116D5-6561-4836-85DC-A000423B7751}" xr6:coauthVersionLast="47" xr6:coauthVersionMax="47" xr10:uidLastSave="{00000000-0000-0000-0000-000000000000}"/>
  <bookViews>
    <workbookView xWindow="-120" yWindow="-120" windowWidth="29040" windowHeight="15720" activeTab="1" xr2:uid="{97B97223-865E-45D4-9E75-2997D7267C15}"/>
  </bookViews>
  <sheets>
    <sheet name="III" sheetId="1" r:id="rId1"/>
    <sheet name="IV" sheetId="2" r:id="rId2"/>
  </sheets>
  <definedNames>
    <definedName name="_xlnm._FilterDatabase" localSheetId="0" hidden="1">III!$A$1:$Q$59</definedName>
    <definedName name="_xlnm._FilterDatabase" localSheetId="1" hidden="1">IV!$A$1:$Q$85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5" i="2" l="1"/>
  <c r="P24" i="2"/>
  <c r="P23" i="2"/>
  <c r="P22" i="2"/>
  <c r="P21" i="2"/>
  <c r="P20" i="2"/>
  <c r="P42" i="2" l="1"/>
  <c r="P40" i="2"/>
  <c r="P38" i="2"/>
  <c r="P36" i="2"/>
  <c r="P34" i="2"/>
  <c r="P32" i="2"/>
  <c r="P30" i="2"/>
  <c r="P28" i="2"/>
  <c r="P26" i="2"/>
  <c r="P85" i="2"/>
  <c r="P83" i="2"/>
  <c r="P81" i="2"/>
  <c r="P84" i="2"/>
  <c r="P82" i="2"/>
  <c r="P80" i="2"/>
  <c r="P49" i="2"/>
  <c r="P48" i="2"/>
  <c r="P47" i="2"/>
  <c r="P46" i="2"/>
  <c r="P45" i="2"/>
  <c r="P44" i="2"/>
  <c r="P19" i="2"/>
  <c r="P17" i="2"/>
  <c r="P15" i="2"/>
  <c r="P13" i="2"/>
  <c r="P79" i="2"/>
  <c r="P77" i="2"/>
  <c r="P75" i="2"/>
  <c r="P73" i="2"/>
  <c r="P78" i="2"/>
  <c r="P76" i="2"/>
  <c r="P74" i="2"/>
  <c r="P72" i="2"/>
  <c r="P18" i="2"/>
  <c r="P16" i="2"/>
  <c r="P14" i="2"/>
  <c r="P12" i="2"/>
  <c r="P10" i="2"/>
  <c r="P8" i="2"/>
  <c r="P6" i="2"/>
  <c r="P4" i="2"/>
  <c r="P2" i="2"/>
  <c r="P70" i="2"/>
  <c r="P68" i="2"/>
  <c r="P66" i="2"/>
  <c r="P64" i="2"/>
  <c r="P62" i="2"/>
  <c r="P71" i="2"/>
  <c r="P69" i="2"/>
  <c r="P67" i="2"/>
  <c r="P65" i="2"/>
  <c r="P63" i="2"/>
  <c r="P11" i="2"/>
  <c r="P9" i="2"/>
  <c r="P7" i="2"/>
  <c r="P5" i="2"/>
  <c r="P3" i="2"/>
  <c r="P58" i="1"/>
  <c r="P57" i="1"/>
  <c r="P45" i="1"/>
  <c r="P44" i="1"/>
  <c r="P50" i="1"/>
  <c r="P49" i="1"/>
  <c r="P48" i="1"/>
  <c r="P38" i="1" l="1"/>
  <c r="P37" i="1"/>
  <c r="P26" i="1"/>
  <c r="P25" i="1"/>
  <c r="P30" i="1"/>
  <c r="P29" i="1"/>
  <c r="P18" i="1" l="1"/>
  <c r="P19" i="1"/>
  <c r="P7" i="1"/>
  <c r="P6" i="1"/>
  <c r="P11" i="1"/>
  <c r="P10" i="1"/>
</calcChain>
</file>

<file path=xl/sharedStrings.xml><?xml version="1.0" encoding="utf-8"?>
<sst xmlns="http://schemas.openxmlformats.org/spreadsheetml/2006/main" count="589" uniqueCount="61">
  <si>
    <t>SC</t>
  </si>
  <si>
    <t>ST</t>
  </si>
  <si>
    <t>VJ-A</t>
  </si>
  <si>
    <t>NT-B</t>
  </si>
  <si>
    <t>NT-C</t>
  </si>
  <si>
    <t>NT-D</t>
  </si>
  <si>
    <t>SBC</t>
  </si>
  <si>
    <t>OBC</t>
  </si>
  <si>
    <t>SEBC</t>
  </si>
  <si>
    <t>EWS</t>
  </si>
  <si>
    <t>OPEN</t>
  </si>
  <si>
    <t>TOTAL</t>
  </si>
  <si>
    <t>Upper Division Clerk(HR)</t>
  </si>
  <si>
    <t>By Promotion 85%</t>
  </si>
  <si>
    <t>By Internal Notification 15%</t>
  </si>
  <si>
    <t>Designation</t>
  </si>
  <si>
    <t>Sanction Type</t>
  </si>
  <si>
    <t>RPUC</t>
  </si>
  <si>
    <t>Principal Operator</t>
  </si>
  <si>
    <t>Senior Operator</t>
  </si>
  <si>
    <t>Principal Technician</t>
  </si>
  <si>
    <t>By Direct Recruitment 75%</t>
  </si>
  <si>
    <t>By Promotion 10%</t>
  </si>
  <si>
    <t>Lower Division Clerk(HR)/OA</t>
  </si>
  <si>
    <t>Lower Division Clerk (Accounts)</t>
  </si>
  <si>
    <t>Chief Technician</t>
  </si>
  <si>
    <t>Operator</t>
  </si>
  <si>
    <t>Vehicle Driver</t>
  </si>
  <si>
    <t>Circle</t>
  </si>
  <si>
    <t>GKUC</t>
  </si>
  <si>
    <t>PRC</t>
  </si>
  <si>
    <t>Division</t>
  </si>
  <si>
    <t>Pune Rastapeth Division</t>
  </si>
  <si>
    <t>Pune Bundgarden Division</t>
  </si>
  <si>
    <t>Pune Padmavati Division</t>
  </si>
  <si>
    <t>Pune Parvati Division</t>
  </si>
  <si>
    <t>Pune Nagar Road Division</t>
  </si>
  <si>
    <t>Junior Office Assistant</t>
  </si>
  <si>
    <t>By Promotion 100%</t>
  </si>
  <si>
    <t>Pune Pimpri Division</t>
  </si>
  <si>
    <t>Pune Bhosari  Division</t>
  </si>
  <si>
    <t>Pune Kothrud Division</t>
  </si>
  <si>
    <t>Pune Shivajinagar Division</t>
  </si>
  <si>
    <t>Mulshi Division</t>
  </si>
  <si>
    <t>PEON</t>
  </si>
  <si>
    <t>Manchar Division</t>
  </si>
  <si>
    <t>Rajgurunagar Division</t>
  </si>
  <si>
    <t>Pune Mulshi Division</t>
  </si>
  <si>
    <t>Senior Technician</t>
  </si>
  <si>
    <t>Upper Division Clerk(AC)</t>
  </si>
  <si>
    <t>Technician</t>
  </si>
  <si>
    <t>By Direct Recruitment 100%</t>
  </si>
  <si>
    <t>Junior Assistant (Accounts)</t>
  </si>
  <si>
    <t>Junior Assistant(HR)</t>
  </si>
  <si>
    <t>Upkendra Sahayyak</t>
  </si>
  <si>
    <t>Tracer</t>
  </si>
  <si>
    <t>Remarks</t>
  </si>
  <si>
    <t>Assistant- Junior Office Assistant</t>
  </si>
  <si>
    <t>Surplus</t>
  </si>
  <si>
    <t>Sahayyak -Peon</t>
  </si>
  <si>
    <t>Vidut Sahayyak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</si>
</sst>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sz val="14"/>
      <color rgb="FFFF0000"/>
      <name val="Times New Roman"/>
      <family val="1"/>
    </font>
    <font>
      <sz val="14"/>
      <color rgb="FFC00000"/>
      <name val="Times New Roman"/>
      <family val="1"/>
    </font>
    <font>
      <sz val="14"/>
      <color rgb="FF7030A0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vertical="center"/>
    </xf>
    <xf numFmtId="0" fontId="10" fillId="0" borderId="1" xfId="0" applyFont="1" applyBorder="1" applyAlignment="1" applyProtection="1">
      <alignment horizontal="center" vertical="center"/>
      <protection locked="0"/>
    </xf>
    <xf numFmtId="0" fontId="11" fillId="0" borderId="4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0B83833B-FC60-4B3F-8E80-B64F31B443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62B0D3-B70F-43B1-B4FF-939EF83FBB83}">
  <we:reference id="WA200010215" version="2.0.0.0" store="Omex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914DD-9CA0-4F58-9507-29CB9EFA06D1}">
  <sheetPr filterMode="1"/>
  <dimension ref="A1:Q59"/>
  <sheetViews>
    <sheetView workbookViewId="0">
      <selection activeCell="I38" sqref="I38"/>
    </sheetView>
  </sheetViews>
  <sheetFormatPr defaultRowHeight="15" x14ac:dyDescent="0.25"/>
  <cols>
    <col min="1" max="1" width="13.85546875" style="47" customWidth="1"/>
    <col min="2" max="2" width="17.42578125" customWidth="1"/>
    <col min="3" max="3" width="38.85546875" customWidth="1"/>
    <col min="4" max="4" width="36.7109375" customWidth="1"/>
    <col min="16" max="16" width="10.7109375" bestFit="1" customWidth="1"/>
    <col min="17" max="17" width="12" customWidth="1"/>
  </cols>
  <sheetData>
    <row r="1" spans="1:17" ht="18.75" x14ac:dyDescent="0.25">
      <c r="A1" s="16" t="s">
        <v>28</v>
      </c>
      <c r="B1" s="16" t="s">
        <v>31</v>
      </c>
      <c r="C1" s="24" t="s">
        <v>15</v>
      </c>
      <c r="D1" s="24" t="s">
        <v>16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7" t="s">
        <v>11</v>
      </c>
      <c r="Q1" s="23" t="s">
        <v>56</v>
      </c>
    </row>
    <row r="2" spans="1:17" ht="20.25" hidden="1" x14ac:dyDescent="0.25">
      <c r="A2" s="44" t="s">
        <v>17</v>
      </c>
      <c r="B2" s="17"/>
      <c r="C2" s="4" t="s">
        <v>49</v>
      </c>
      <c r="D2" s="4" t="s">
        <v>13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48</v>
      </c>
      <c r="P2" s="3">
        <v>48</v>
      </c>
      <c r="Q2" s="8"/>
    </row>
    <row r="3" spans="1:17" ht="20.25" hidden="1" x14ac:dyDescent="0.3">
      <c r="A3" s="44" t="s">
        <v>17</v>
      </c>
      <c r="B3" s="17"/>
      <c r="C3" s="4" t="s">
        <v>49</v>
      </c>
      <c r="D3" s="4" t="s">
        <v>14</v>
      </c>
      <c r="E3" s="13">
        <v>1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1</v>
      </c>
      <c r="P3" s="3">
        <v>2</v>
      </c>
      <c r="Q3" s="8"/>
    </row>
    <row r="4" spans="1:17" ht="20.25" hidden="1" x14ac:dyDescent="0.3">
      <c r="A4" s="44" t="s">
        <v>17</v>
      </c>
      <c r="B4" s="17"/>
      <c r="C4" s="4" t="s">
        <v>12</v>
      </c>
      <c r="D4" s="4" t="s">
        <v>13</v>
      </c>
      <c r="E4" s="5">
        <v>2</v>
      </c>
      <c r="F4" s="5">
        <v>1</v>
      </c>
      <c r="G4" s="5">
        <v>1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8</v>
      </c>
      <c r="P4" s="3">
        <v>12</v>
      </c>
      <c r="Q4" s="6"/>
    </row>
    <row r="5" spans="1:17" ht="20.25" hidden="1" x14ac:dyDescent="0.3">
      <c r="A5" s="44" t="s">
        <v>17</v>
      </c>
      <c r="B5" s="17"/>
      <c r="C5" s="4" t="s">
        <v>12</v>
      </c>
      <c r="D5" s="4" t="s">
        <v>14</v>
      </c>
      <c r="E5" s="13">
        <v>1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2</v>
      </c>
      <c r="P5" s="3">
        <v>3</v>
      </c>
      <c r="Q5" s="6"/>
    </row>
    <row r="6" spans="1:17" ht="20.25" hidden="1" x14ac:dyDescent="0.25">
      <c r="A6" s="44" t="s">
        <v>17</v>
      </c>
      <c r="B6" s="17"/>
      <c r="C6" s="4" t="s">
        <v>23</v>
      </c>
      <c r="D6" s="4" t="s">
        <v>21</v>
      </c>
      <c r="E6" s="5">
        <v>5</v>
      </c>
      <c r="F6" s="5">
        <v>2</v>
      </c>
      <c r="G6" s="5">
        <v>1</v>
      </c>
      <c r="H6" s="5">
        <v>1</v>
      </c>
      <c r="I6" s="5">
        <v>1</v>
      </c>
      <c r="J6" s="5">
        <v>0</v>
      </c>
      <c r="K6" s="5">
        <v>0</v>
      </c>
      <c r="L6" s="5">
        <v>7</v>
      </c>
      <c r="M6" s="5">
        <v>0</v>
      </c>
      <c r="N6" s="5">
        <v>2</v>
      </c>
      <c r="O6" s="5">
        <v>19</v>
      </c>
      <c r="P6" s="3">
        <f t="shared" ref="P6:P7" si="0">SUM(E6:O6)</f>
        <v>38</v>
      </c>
      <c r="Q6" s="8"/>
    </row>
    <row r="7" spans="1:17" ht="20.25" hidden="1" x14ac:dyDescent="0.25">
      <c r="A7" s="44" t="s">
        <v>17</v>
      </c>
      <c r="B7" s="17"/>
      <c r="C7" s="4" t="s">
        <v>53</v>
      </c>
      <c r="D7" s="4" t="s">
        <v>21</v>
      </c>
      <c r="E7" s="5">
        <v>0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3">
        <f t="shared" si="0"/>
        <v>1</v>
      </c>
      <c r="Q7" s="8" t="s">
        <v>58</v>
      </c>
    </row>
    <row r="8" spans="1:17" ht="20.25" hidden="1" x14ac:dyDescent="0.25">
      <c r="A8" s="44" t="s">
        <v>17</v>
      </c>
      <c r="B8" s="17"/>
      <c r="C8" s="4" t="s">
        <v>23</v>
      </c>
      <c r="D8" s="4" t="s">
        <v>14</v>
      </c>
      <c r="E8" s="14">
        <v>2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3</v>
      </c>
      <c r="P8" s="14">
        <v>5</v>
      </c>
      <c r="Q8" s="8"/>
    </row>
    <row r="9" spans="1:17" ht="20.25" hidden="1" x14ac:dyDescent="0.3">
      <c r="A9" s="44" t="s">
        <v>17</v>
      </c>
      <c r="B9" s="17"/>
      <c r="C9" s="4" t="s">
        <v>23</v>
      </c>
      <c r="D9" s="4" t="s">
        <v>22</v>
      </c>
      <c r="E9" s="6">
        <v>1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4</v>
      </c>
      <c r="P9" s="14">
        <v>5</v>
      </c>
      <c r="Q9" s="8"/>
    </row>
    <row r="10" spans="1:17" ht="20.25" hidden="1" x14ac:dyDescent="0.25">
      <c r="A10" s="44" t="s">
        <v>17</v>
      </c>
      <c r="B10" s="17"/>
      <c r="C10" s="4" t="s">
        <v>24</v>
      </c>
      <c r="D10" s="4" t="s">
        <v>21</v>
      </c>
      <c r="E10" s="5">
        <v>7</v>
      </c>
      <c r="F10" s="5">
        <v>4</v>
      </c>
      <c r="G10" s="5">
        <v>0</v>
      </c>
      <c r="H10" s="5">
        <v>1</v>
      </c>
      <c r="I10" s="5">
        <v>2</v>
      </c>
      <c r="J10" s="5">
        <v>1</v>
      </c>
      <c r="K10" s="5">
        <v>1</v>
      </c>
      <c r="L10" s="5">
        <v>3</v>
      </c>
      <c r="M10" s="5">
        <v>0</v>
      </c>
      <c r="N10" s="5">
        <v>0</v>
      </c>
      <c r="O10" s="5">
        <v>23</v>
      </c>
      <c r="P10" s="14">
        <f t="shared" ref="P10:P11" si="1">SUM(E10:O10)</f>
        <v>42</v>
      </c>
      <c r="Q10" s="8"/>
    </row>
    <row r="11" spans="1:17" ht="20.25" hidden="1" x14ac:dyDescent="0.25">
      <c r="A11" s="44" t="s">
        <v>17</v>
      </c>
      <c r="B11" s="17"/>
      <c r="C11" s="4" t="s">
        <v>52</v>
      </c>
      <c r="D11" s="4" t="s">
        <v>21</v>
      </c>
      <c r="E11" s="5">
        <v>0</v>
      </c>
      <c r="F11" s="5">
        <v>0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3</v>
      </c>
      <c r="M11" s="5">
        <v>2</v>
      </c>
      <c r="N11" s="5">
        <v>0</v>
      </c>
      <c r="O11" s="5">
        <v>0</v>
      </c>
      <c r="P11" s="14">
        <f t="shared" si="1"/>
        <v>6</v>
      </c>
      <c r="Q11" s="8" t="s">
        <v>58</v>
      </c>
    </row>
    <row r="12" spans="1:17" ht="20.25" hidden="1" x14ac:dyDescent="0.25">
      <c r="A12" s="44" t="s">
        <v>17</v>
      </c>
      <c r="B12" s="17"/>
      <c r="C12" s="4" t="s">
        <v>24</v>
      </c>
      <c r="D12" s="4" t="s">
        <v>14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8"/>
    </row>
    <row r="13" spans="1:17" ht="20.25" hidden="1" x14ac:dyDescent="0.25">
      <c r="A13" s="44" t="s">
        <v>17</v>
      </c>
      <c r="B13" s="17"/>
      <c r="C13" s="4" t="s">
        <v>24</v>
      </c>
      <c r="D13" s="4" t="s">
        <v>22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7</v>
      </c>
      <c r="P13" s="14">
        <v>7</v>
      </c>
      <c r="Q13" s="8"/>
    </row>
    <row r="14" spans="1:17" ht="20.25" hidden="1" x14ac:dyDescent="0.3">
      <c r="A14" s="44" t="s">
        <v>17</v>
      </c>
      <c r="B14" s="17"/>
      <c r="C14" s="4" t="s">
        <v>25</v>
      </c>
      <c r="D14" s="4" t="s">
        <v>22</v>
      </c>
      <c r="E14" s="6">
        <v>0</v>
      </c>
      <c r="F14" s="6">
        <v>1</v>
      </c>
      <c r="G14" s="6">
        <v>0</v>
      </c>
      <c r="H14" s="6">
        <v>0</v>
      </c>
      <c r="I14" s="6">
        <v>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20</v>
      </c>
      <c r="P14" s="14">
        <v>22</v>
      </c>
      <c r="Q14" s="6"/>
    </row>
    <row r="15" spans="1:17" ht="20.25" hidden="1" x14ac:dyDescent="0.3">
      <c r="A15" s="44" t="s">
        <v>17</v>
      </c>
      <c r="B15" s="17"/>
      <c r="C15" s="4" t="s">
        <v>20</v>
      </c>
      <c r="D15" s="4" t="s">
        <v>22</v>
      </c>
      <c r="E15" s="6">
        <v>8</v>
      </c>
      <c r="F15" s="6">
        <v>2</v>
      </c>
      <c r="G15" s="6">
        <v>1</v>
      </c>
      <c r="H15" s="6">
        <v>2</v>
      </c>
      <c r="I15" s="6">
        <v>1</v>
      </c>
      <c r="J15" s="6">
        <v>2</v>
      </c>
      <c r="K15" s="6">
        <v>2</v>
      </c>
      <c r="L15" s="6">
        <v>0</v>
      </c>
      <c r="M15" s="6">
        <v>0</v>
      </c>
      <c r="N15" s="6">
        <v>0</v>
      </c>
      <c r="O15" s="6">
        <v>96</v>
      </c>
      <c r="P15" s="14">
        <v>114</v>
      </c>
      <c r="Q15" s="6"/>
    </row>
    <row r="16" spans="1:17" ht="20.25" hidden="1" x14ac:dyDescent="0.3">
      <c r="A16" s="44" t="s">
        <v>17</v>
      </c>
      <c r="B16" s="17"/>
      <c r="C16" s="4" t="s">
        <v>18</v>
      </c>
      <c r="D16" s="4" t="s">
        <v>22</v>
      </c>
      <c r="E16" s="6">
        <v>4</v>
      </c>
      <c r="F16" s="6">
        <v>3</v>
      </c>
      <c r="G16" s="6">
        <v>1</v>
      </c>
      <c r="H16" s="6">
        <v>0</v>
      </c>
      <c r="I16" s="6">
        <v>0</v>
      </c>
      <c r="J16" s="6">
        <v>1</v>
      </c>
      <c r="K16" s="6">
        <v>1</v>
      </c>
      <c r="L16" s="6">
        <v>0</v>
      </c>
      <c r="M16" s="6">
        <v>0</v>
      </c>
      <c r="N16" s="6">
        <v>0</v>
      </c>
      <c r="O16" s="6">
        <v>33</v>
      </c>
      <c r="P16" s="14">
        <v>43</v>
      </c>
      <c r="Q16" s="6"/>
    </row>
    <row r="17" spans="1:17" ht="20.25" hidden="1" x14ac:dyDescent="0.3">
      <c r="A17" s="44" t="s">
        <v>17</v>
      </c>
      <c r="B17" s="17"/>
      <c r="C17" s="4" t="s">
        <v>19</v>
      </c>
      <c r="D17" s="4" t="s">
        <v>22</v>
      </c>
      <c r="E17" s="6">
        <v>2</v>
      </c>
      <c r="F17" s="6">
        <v>0</v>
      </c>
      <c r="G17" s="6">
        <v>1</v>
      </c>
      <c r="H17" s="6">
        <v>0</v>
      </c>
      <c r="I17" s="6">
        <v>1</v>
      </c>
      <c r="J17" s="6">
        <v>1</v>
      </c>
      <c r="K17" s="6">
        <v>1</v>
      </c>
      <c r="L17" s="6">
        <v>0</v>
      </c>
      <c r="M17" s="6">
        <v>0</v>
      </c>
      <c r="N17" s="6">
        <v>0</v>
      </c>
      <c r="O17" s="6">
        <v>40</v>
      </c>
      <c r="P17" s="14">
        <v>46</v>
      </c>
      <c r="Q17" s="6"/>
    </row>
    <row r="18" spans="1:17" ht="20.25" hidden="1" x14ac:dyDescent="0.25">
      <c r="A18" s="44" t="s">
        <v>17</v>
      </c>
      <c r="B18" s="17"/>
      <c r="C18" s="4" t="s">
        <v>26</v>
      </c>
      <c r="D18" s="4" t="s">
        <v>51</v>
      </c>
      <c r="E18" s="5">
        <v>10</v>
      </c>
      <c r="F18" s="5">
        <v>8</v>
      </c>
      <c r="G18" s="5">
        <v>8</v>
      </c>
      <c r="H18" s="5">
        <v>4</v>
      </c>
      <c r="I18" s="5">
        <v>4</v>
      </c>
      <c r="J18" s="5">
        <v>6</v>
      </c>
      <c r="K18" s="5">
        <v>3</v>
      </c>
      <c r="L18" s="5">
        <v>17</v>
      </c>
      <c r="M18" s="5">
        <v>7</v>
      </c>
      <c r="N18" s="5">
        <v>1</v>
      </c>
      <c r="O18" s="5">
        <v>76</v>
      </c>
      <c r="P18" s="3">
        <f t="shared" ref="P18" si="2">SUM(E18:O18)</f>
        <v>144</v>
      </c>
      <c r="Q18" s="8"/>
    </row>
    <row r="19" spans="1:17" ht="20.25" hidden="1" x14ac:dyDescent="0.25">
      <c r="A19" s="44" t="s">
        <v>17</v>
      </c>
      <c r="B19" s="17"/>
      <c r="C19" s="4" t="s">
        <v>54</v>
      </c>
      <c r="D19" s="4" t="s">
        <v>51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1</v>
      </c>
      <c r="P19" s="3">
        <f t="shared" ref="P19" si="3">SUM(E19:O19)</f>
        <v>1</v>
      </c>
      <c r="Q19" s="8" t="s">
        <v>58</v>
      </c>
    </row>
    <row r="20" spans="1:17" ht="20.25" hidden="1" x14ac:dyDescent="0.25">
      <c r="A20" s="44" t="s">
        <v>17</v>
      </c>
      <c r="B20" s="17"/>
      <c r="C20" s="4" t="s">
        <v>27</v>
      </c>
      <c r="D20" s="4" t="s">
        <v>51</v>
      </c>
      <c r="E20" s="11">
        <v>1</v>
      </c>
      <c r="F20" s="11">
        <v>1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3">
        <v>2</v>
      </c>
      <c r="Q20" s="8"/>
    </row>
    <row r="21" spans="1:17" ht="20.25" hidden="1" x14ac:dyDescent="0.25">
      <c r="A21" s="45" t="s">
        <v>29</v>
      </c>
      <c r="B21" s="18"/>
      <c r="C21" s="4" t="s">
        <v>49</v>
      </c>
      <c r="D21" s="4" t="s">
        <v>13</v>
      </c>
      <c r="E21" s="5">
        <v>6</v>
      </c>
      <c r="F21" s="5">
        <v>3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29</v>
      </c>
      <c r="P21" s="3">
        <v>43</v>
      </c>
      <c r="Q21" s="8"/>
    </row>
    <row r="22" spans="1:17" ht="20.25" hidden="1" x14ac:dyDescent="0.25">
      <c r="A22" s="45" t="s">
        <v>29</v>
      </c>
      <c r="B22" s="18"/>
      <c r="C22" s="4" t="s">
        <v>49</v>
      </c>
      <c r="D22" s="4" t="s">
        <v>14</v>
      </c>
      <c r="E22" s="5">
        <v>1</v>
      </c>
      <c r="F22" s="5">
        <v>1</v>
      </c>
      <c r="G22" s="5">
        <v>1</v>
      </c>
      <c r="H22" s="5">
        <v>0</v>
      </c>
      <c r="I22" s="5">
        <v>0</v>
      </c>
      <c r="J22" s="5">
        <v>0</v>
      </c>
      <c r="K22" s="5">
        <v>0</v>
      </c>
      <c r="L22" s="5">
        <v>1</v>
      </c>
      <c r="M22" s="5">
        <v>1</v>
      </c>
      <c r="N22" s="5">
        <v>1</v>
      </c>
      <c r="O22" s="5">
        <v>2</v>
      </c>
      <c r="P22" s="3">
        <v>8</v>
      </c>
      <c r="Q22" s="8"/>
    </row>
    <row r="23" spans="1:17" ht="20.25" hidden="1" x14ac:dyDescent="0.25">
      <c r="A23" s="45" t="s">
        <v>29</v>
      </c>
      <c r="B23" s="18"/>
      <c r="C23" s="4" t="s">
        <v>12</v>
      </c>
      <c r="D23" s="4" t="s">
        <v>13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11</v>
      </c>
      <c r="P23" s="3">
        <v>12</v>
      </c>
      <c r="Q23" s="8"/>
    </row>
    <row r="24" spans="1:17" ht="20.25" hidden="1" x14ac:dyDescent="0.3">
      <c r="A24" s="45" t="s">
        <v>29</v>
      </c>
      <c r="B24" s="18"/>
      <c r="C24" s="4" t="s">
        <v>12</v>
      </c>
      <c r="D24" s="4" t="s">
        <v>14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3">
        <v>0</v>
      </c>
      <c r="Q24" s="8"/>
    </row>
    <row r="25" spans="1:17" ht="20.25" hidden="1" x14ac:dyDescent="0.25">
      <c r="A25" s="45" t="s">
        <v>29</v>
      </c>
      <c r="B25" s="18"/>
      <c r="C25" s="4" t="s">
        <v>23</v>
      </c>
      <c r="D25" s="4" t="s">
        <v>21</v>
      </c>
      <c r="E25" s="5">
        <v>5</v>
      </c>
      <c r="F25" s="5">
        <v>2</v>
      </c>
      <c r="G25" s="5">
        <v>0</v>
      </c>
      <c r="H25" s="5">
        <v>0</v>
      </c>
      <c r="I25" s="5">
        <v>1</v>
      </c>
      <c r="J25" s="5">
        <v>1</v>
      </c>
      <c r="K25" s="5">
        <v>0</v>
      </c>
      <c r="L25" s="5">
        <v>4</v>
      </c>
      <c r="M25" s="5">
        <v>0</v>
      </c>
      <c r="N25" s="5">
        <v>0</v>
      </c>
      <c r="O25" s="5">
        <v>14</v>
      </c>
      <c r="P25" s="29">
        <f>SUM(E25:O25)</f>
        <v>27</v>
      </c>
      <c r="Q25" s="8"/>
    </row>
    <row r="26" spans="1:17" ht="20.25" hidden="1" x14ac:dyDescent="0.25">
      <c r="A26" s="45" t="s">
        <v>29</v>
      </c>
      <c r="B26" s="18"/>
      <c r="C26" s="4" t="s">
        <v>53</v>
      </c>
      <c r="D26" s="4" t="s">
        <v>21</v>
      </c>
      <c r="E26" s="5">
        <v>0</v>
      </c>
      <c r="F26" s="5">
        <v>0</v>
      </c>
      <c r="G26" s="5">
        <v>1</v>
      </c>
      <c r="H26" s="5">
        <v>1</v>
      </c>
      <c r="I26" s="5">
        <v>0</v>
      </c>
      <c r="J26" s="5">
        <v>0</v>
      </c>
      <c r="K26" s="5">
        <v>1</v>
      </c>
      <c r="L26" s="5">
        <v>1</v>
      </c>
      <c r="M26" s="5">
        <v>0</v>
      </c>
      <c r="N26" s="5">
        <v>0</v>
      </c>
      <c r="O26" s="5">
        <v>2</v>
      </c>
      <c r="P26" s="29">
        <f>SUM(E26:O26)</f>
        <v>6</v>
      </c>
      <c r="Q26" s="8" t="s">
        <v>58</v>
      </c>
    </row>
    <row r="27" spans="1:17" ht="20.25" hidden="1" x14ac:dyDescent="0.25">
      <c r="A27" s="45" t="s">
        <v>29</v>
      </c>
      <c r="B27" s="18"/>
      <c r="C27" s="4" t="s">
        <v>23</v>
      </c>
      <c r="D27" s="4" t="s">
        <v>14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2</v>
      </c>
      <c r="P27" s="14">
        <v>2</v>
      </c>
      <c r="Q27" s="8"/>
    </row>
    <row r="28" spans="1:17" ht="20.25" hidden="1" x14ac:dyDescent="0.3">
      <c r="A28" s="45" t="s">
        <v>29</v>
      </c>
      <c r="B28" s="18"/>
      <c r="C28" s="4" t="s">
        <v>23</v>
      </c>
      <c r="D28" s="4" t="s">
        <v>22</v>
      </c>
      <c r="E28" s="6">
        <v>0</v>
      </c>
      <c r="F28" s="6">
        <v>1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3</v>
      </c>
      <c r="P28" s="14">
        <v>4</v>
      </c>
      <c r="Q28" s="8"/>
    </row>
    <row r="29" spans="1:17" ht="20.25" hidden="1" x14ac:dyDescent="0.25">
      <c r="A29" s="45" t="s">
        <v>29</v>
      </c>
      <c r="B29" s="18"/>
      <c r="C29" s="4" t="s">
        <v>24</v>
      </c>
      <c r="D29" s="4" t="s">
        <v>21</v>
      </c>
      <c r="E29" s="5">
        <v>4</v>
      </c>
      <c r="F29" s="5">
        <v>4</v>
      </c>
      <c r="G29" s="5">
        <v>1</v>
      </c>
      <c r="H29" s="5">
        <v>1</v>
      </c>
      <c r="I29" s="5">
        <v>1</v>
      </c>
      <c r="J29" s="5">
        <v>0</v>
      </c>
      <c r="K29" s="5">
        <v>0</v>
      </c>
      <c r="L29" s="5">
        <v>5</v>
      </c>
      <c r="M29" s="5">
        <v>0</v>
      </c>
      <c r="N29" s="5">
        <v>0</v>
      </c>
      <c r="O29" s="5">
        <v>20</v>
      </c>
      <c r="P29" s="3">
        <f t="shared" ref="P29:P30" si="4">SUM(E29:O29)</f>
        <v>36</v>
      </c>
      <c r="Q29" s="8"/>
    </row>
    <row r="30" spans="1:17" ht="20.25" hidden="1" x14ac:dyDescent="0.25">
      <c r="A30" s="45" t="s">
        <v>29</v>
      </c>
      <c r="B30" s="18"/>
      <c r="C30" s="4" t="s">
        <v>52</v>
      </c>
      <c r="D30" s="4" t="s">
        <v>21</v>
      </c>
      <c r="E30" s="5">
        <v>2</v>
      </c>
      <c r="F30" s="5">
        <v>0</v>
      </c>
      <c r="G30" s="5">
        <v>0</v>
      </c>
      <c r="H30" s="5">
        <v>0</v>
      </c>
      <c r="I30" s="5">
        <v>1</v>
      </c>
      <c r="J30" s="5">
        <v>1</v>
      </c>
      <c r="K30" s="5">
        <v>0</v>
      </c>
      <c r="L30" s="5">
        <v>3</v>
      </c>
      <c r="M30" s="5">
        <v>2</v>
      </c>
      <c r="N30" s="5">
        <v>1</v>
      </c>
      <c r="O30" s="5">
        <v>1</v>
      </c>
      <c r="P30" s="3">
        <f t="shared" si="4"/>
        <v>11</v>
      </c>
      <c r="Q30" s="8" t="s">
        <v>58</v>
      </c>
    </row>
    <row r="31" spans="1:17" ht="20.25" hidden="1" x14ac:dyDescent="0.25">
      <c r="A31" s="45" t="s">
        <v>29</v>
      </c>
      <c r="B31" s="18"/>
      <c r="C31" s="4" t="s">
        <v>24</v>
      </c>
      <c r="D31" s="4" t="s">
        <v>14</v>
      </c>
      <c r="E31" s="14">
        <v>1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1</v>
      </c>
      <c r="Q31" s="8"/>
    </row>
    <row r="32" spans="1:17" ht="20.25" hidden="1" x14ac:dyDescent="0.25">
      <c r="A32" s="45" t="s">
        <v>29</v>
      </c>
      <c r="B32" s="18"/>
      <c r="C32" s="4" t="s">
        <v>24</v>
      </c>
      <c r="D32" s="4" t="s">
        <v>22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7</v>
      </c>
      <c r="P32" s="14">
        <v>7</v>
      </c>
      <c r="Q32" s="8"/>
    </row>
    <row r="33" spans="1:17" ht="20.25" hidden="1" x14ac:dyDescent="0.3">
      <c r="A33" s="45" t="s">
        <v>29</v>
      </c>
      <c r="B33" s="18"/>
      <c r="C33" s="4" t="s">
        <v>25</v>
      </c>
      <c r="D33" s="4" t="s">
        <v>22</v>
      </c>
      <c r="E33" s="6">
        <v>1</v>
      </c>
      <c r="F33" s="6">
        <v>1</v>
      </c>
      <c r="G33" s="6">
        <v>1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16</v>
      </c>
      <c r="P33" s="14">
        <v>19</v>
      </c>
      <c r="Q33" s="8"/>
    </row>
    <row r="34" spans="1:17" ht="20.25" hidden="1" x14ac:dyDescent="0.3">
      <c r="A34" s="45" t="s">
        <v>29</v>
      </c>
      <c r="B34" s="18"/>
      <c r="C34" s="4" t="s">
        <v>20</v>
      </c>
      <c r="D34" s="4" t="s">
        <v>22</v>
      </c>
      <c r="E34" s="6">
        <v>6</v>
      </c>
      <c r="F34" s="6">
        <v>2</v>
      </c>
      <c r="G34" s="6">
        <v>2</v>
      </c>
      <c r="H34" s="6">
        <v>0</v>
      </c>
      <c r="I34" s="6">
        <v>3</v>
      </c>
      <c r="J34" s="6">
        <v>1</v>
      </c>
      <c r="K34" s="6">
        <v>0</v>
      </c>
      <c r="L34" s="6">
        <v>0</v>
      </c>
      <c r="M34" s="6">
        <v>0</v>
      </c>
      <c r="N34" s="6">
        <v>0</v>
      </c>
      <c r="O34" s="6">
        <v>103</v>
      </c>
      <c r="P34" s="14">
        <v>117</v>
      </c>
      <c r="Q34" s="8"/>
    </row>
    <row r="35" spans="1:17" ht="20.25" hidden="1" x14ac:dyDescent="0.3">
      <c r="A35" s="45" t="s">
        <v>29</v>
      </c>
      <c r="B35" s="18"/>
      <c r="C35" s="4" t="s">
        <v>18</v>
      </c>
      <c r="D35" s="4" t="s">
        <v>22</v>
      </c>
      <c r="E35" s="6">
        <v>2</v>
      </c>
      <c r="F35" s="6">
        <v>3</v>
      </c>
      <c r="G35" s="6">
        <v>1</v>
      </c>
      <c r="H35" s="6">
        <v>0</v>
      </c>
      <c r="I35" s="6">
        <v>0</v>
      </c>
      <c r="J35" s="6">
        <v>1</v>
      </c>
      <c r="K35" s="6">
        <v>0</v>
      </c>
      <c r="L35" s="6">
        <v>0</v>
      </c>
      <c r="M35" s="6">
        <v>0</v>
      </c>
      <c r="N35" s="6">
        <v>0</v>
      </c>
      <c r="O35" s="6">
        <v>38</v>
      </c>
      <c r="P35" s="14">
        <v>45</v>
      </c>
      <c r="Q35" s="8"/>
    </row>
    <row r="36" spans="1:17" ht="20.25" hidden="1" x14ac:dyDescent="0.3">
      <c r="A36" s="45" t="s">
        <v>29</v>
      </c>
      <c r="B36" s="18"/>
      <c r="C36" s="4" t="s">
        <v>19</v>
      </c>
      <c r="D36" s="4" t="s">
        <v>22</v>
      </c>
      <c r="E36" s="6">
        <v>2</v>
      </c>
      <c r="F36" s="6">
        <v>2</v>
      </c>
      <c r="G36" s="6">
        <v>1</v>
      </c>
      <c r="H36" s="6">
        <v>1</v>
      </c>
      <c r="I36" s="6">
        <v>1</v>
      </c>
      <c r="J36" s="6">
        <v>1</v>
      </c>
      <c r="K36" s="6">
        <v>0</v>
      </c>
      <c r="L36" s="6">
        <v>0</v>
      </c>
      <c r="M36" s="6">
        <v>0</v>
      </c>
      <c r="N36" s="6">
        <v>0</v>
      </c>
      <c r="O36" s="6">
        <v>37</v>
      </c>
      <c r="P36" s="14">
        <v>45</v>
      </c>
      <c r="Q36" s="8"/>
    </row>
    <row r="37" spans="1:17" ht="20.25" hidden="1" x14ac:dyDescent="0.25">
      <c r="A37" s="45" t="s">
        <v>29</v>
      </c>
      <c r="B37" s="18"/>
      <c r="C37" s="4" t="s">
        <v>26</v>
      </c>
      <c r="D37" s="4" t="s">
        <v>51</v>
      </c>
      <c r="E37" s="5">
        <v>17</v>
      </c>
      <c r="F37" s="5">
        <v>9</v>
      </c>
      <c r="G37" s="5">
        <v>5</v>
      </c>
      <c r="H37" s="5">
        <v>3</v>
      </c>
      <c r="I37" s="5">
        <v>9</v>
      </c>
      <c r="J37" s="5">
        <v>5</v>
      </c>
      <c r="K37" s="5">
        <v>4</v>
      </c>
      <c r="L37" s="5">
        <v>16</v>
      </c>
      <c r="M37" s="5">
        <v>0</v>
      </c>
      <c r="N37" s="5">
        <v>1</v>
      </c>
      <c r="O37" s="5">
        <v>76</v>
      </c>
      <c r="P37" s="3">
        <f t="shared" ref="P37:P38" si="5">SUM(E37:O37)</f>
        <v>145</v>
      </c>
      <c r="Q37" s="8"/>
    </row>
    <row r="38" spans="1:17" ht="20.25" hidden="1" x14ac:dyDescent="0.25">
      <c r="A38" s="45" t="s">
        <v>29</v>
      </c>
      <c r="B38" s="18"/>
      <c r="C38" s="4" t="s">
        <v>54</v>
      </c>
      <c r="D38" s="4" t="s">
        <v>51</v>
      </c>
      <c r="E38" s="5">
        <v>0</v>
      </c>
      <c r="F38" s="5">
        <v>1</v>
      </c>
      <c r="G38" s="5">
        <v>1</v>
      </c>
      <c r="H38" s="5">
        <v>0</v>
      </c>
      <c r="I38" s="5">
        <v>0</v>
      </c>
      <c r="J38" s="5">
        <v>0</v>
      </c>
      <c r="K38" s="5">
        <v>0</v>
      </c>
      <c r="L38" s="5">
        <v>1</v>
      </c>
      <c r="M38" s="5">
        <v>0</v>
      </c>
      <c r="N38" s="5">
        <v>1</v>
      </c>
      <c r="O38" s="5">
        <v>2</v>
      </c>
      <c r="P38" s="3">
        <f t="shared" si="5"/>
        <v>6</v>
      </c>
      <c r="Q38" s="8" t="s">
        <v>58</v>
      </c>
    </row>
    <row r="39" spans="1:17" ht="20.25" hidden="1" x14ac:dyDescent="0.25">
      <c r="A39" s="45" t="s">
        <v>29</v>
      </c>
      <c r="B39" s="18"/>
      <c r="C39" s="4" t="s">
        <v>27</v>
      </c>
      <c r="D39" s="4" t="s">
        <v>51</v>
      </c>
      <c r="E39" s="14">
        <v>0</v>
      </c>
      <c r="F39" s="14">
        <v>1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1</v>
      </c>
      <c r="Q39" s="8"/>
    </row>
    <row r="40" spans="1:17" ht="20.25" x14ac:dyDescent="0.25">
      <c r="A40" s="46" t="s">
        <v>30</v>
      </c>
      <c r="B40" s="19"/>
      <c r="C40" s="4" t="s">
        <v>49</v>
      </c>
      <c r="D40" s="4" t="s">
        <v>13</v>
      </c>
      <c r="E40" s="5">
        <v>0</v>
      </c>
      <c r="F40" s="5">
        <v>0</v>
      </c>
      <c r="G40" s="5">
        <v>1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10">
        <v>38</v>
      </c>
      <c r="P40" s="3">
        <v>39</v>
      </c>
      <c r="Q40" s="8"/>
    </row>
    <row r="41" spans="1:17" ht="20.25" x14ac:dyDescent="0.3">
      <c r="A41" s="46" t="s">
        <v>30</v>
      </c>
      <c r="B41" s="19"/>
      <c r="C41" s="4" t="s">
        <v>49</v>
      </c>
      <c r="D41" s="4" t="s">
        <v>14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3">
        <v>0</v>
      </c>
      <c r="Q41" s="8"/>
    </row>
    <row r="42" spans="1:17" ht="20.25" x14ac:dyDescent="0.25">
      <c r="A42" s="46" t="s">
        <v>30</v>
      </c>
      <c r="B42" s="19"/>
      <c r="C42" s="4" t="s">
        <v>12</v>
      </c>
      <c r="D42" s="4" t="s">
        <v>13</v>
      </c>
      <c r="E42" s="5">
        <v>1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8</v>
      </c>
      <c r="P42" s="3">
        <v>9</v>
      </c>
      <c r="Q42" s="8"/>
    </row>
    <row r="43" spans="1:17" ht="20.25" x14ac:dyDescent="0.3">
      <c r="A43" s="46" t="s">
        <v>30</v>
      </c>
      <c r="B43" s="19"/>
      <c r="C43" s="4" t="s">
        <v>12</v>
      </c>
      <c r="D43" s="4" t="s">
        <v>14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13">
        <v>0</v>
      </c>
      <c r="N43" s="13">
        <v>0</v>
      </c>
      <c r="O43" s="13">
        <v>0</v>
      </c>
      <c r="P43" s="3">
        <v>0</v>
      </c>
      <c r="Q43" s="8"/>
    </row>
    <row r="44" spans="1:17" ht="20.25" x14ac:dyDescent="0.25">
      <c r="A44" s="46" t="s">
        <v>30</v>
      </c>
      <c r="B44" s="19"/>
      <c r="C44" s="4" t="s">
        <v>23</v>
      </c>
      <c r="D44" s="4" t="s">
        <v>21</v>
      </c>
      <c r="E44" s="9">
        <v>2</v>
      </c>
      <c r="F44" s="10">
        <v>0</v>
      </c>
      <c r="G44" s="10">
        <v>0</v>
      </c>
      <c r="H44" s="10">
        <v>1</v>
      </c>
      <c r="I44" s="10">
        <v>0</v>
      </c>
      <c r="J44" s="10">
        <v>0</v>
      </c>
      <c r="K44" s="10">
        <v>0</v>
      </c>
      <c r="L44" s="10">
        <v>2</v>
      </c>
      <c r="M44" s="10">
        <v>0</v>
      </c>
      <c r="N44" s="10">
        <v>0</v>
      </c>
      <c r="O44" s="10">
        <v>7</v>
      </c>
      <c r="P44" s="30">
        <f t="shared" ref="P44:P45" si="6">SUM(E44:O44)</f>
        <v>12</v>
      </c>
      <c r="Q44" s="8"/>
    </row>
    <row r="45" spans="1:17" ht="20.25" x14ac:dyDescent="0.25">
      <c r="A45" s="46" t="s">
        <v>30</v>
      </c>
      <c r="B45" s="19"/>
      <c r="C45" s="4" t="s">
        <v>53</v>
      </c>
      <c r="D45" s="4" t="s">
        <v>21</v>
      </c>
      <c r="E45" s="9">
        <v>0</v>
      </c>
      <c r="F45" s="10">
        <v>2</v>
      </c>
      <c r="G45" s="10">
        <v>1</v>
      </c>
      <c r="H45" s="10">
        <v>0</v>
      </c>
      <c r="I45" s="10">
        <v>1</v>
      </c>
      <c r="J45" s="10">
        <v>0</v>
      </c>
      <c r="K45" s="10">
        <v>0</v>
      </c>
      <c r="L45" s="10">
        <v>2</v>
      </c>
      <c r="M45" s="10">
        <v>0</v>
      </c>
      <c r="N45" s="10">
        <v>1</v>
      </c>
      <c r="O45" s="10">
        <v>0</v>
      </c>
      <c r="P45" s="30">
        <f t="shared" si="6"/>
        <v>7</v>
      </c>
      <c r="Q45" s="8" t="s">
        <v>58</v>
      </c>
    </row>
    <row r="46" spans="1:17" ht="20.25" x14ac:dyDescent="0.25">
      <c r="A46" s="46" t="s">
        <v>30</v>
      </c>
      <c r="B46" s="19"/>
      <c r="C46" s="4" t="s">
        <v>23</v>
      </c>
      <c r="D46" s="4" t="s">
        <v>14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8"/>
    </row>
    <row r="47" spans="1:17" ht="20.25" x14ac:dyDescent="0.25">
      <c r="A47" s="46" t="s">
        <v>30</v>
      </c>
      <c r="B47" s="19"/>
      <c r="C47" s="4" t="s">
        <v>23</v>
      </c>
      <c r="D47" s="4" t="s">
        <v>22</v>
      </c>
      <c r="E47" s="9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2</v>
      </c>
      <c r="P47" s="15">
        <v>2</v>
      </c>
      <c r="Q47" s="8"/>
    </row>
    <row r="48" spans="1:17" ht="20.25" x14ac:dyDescent="0.25">
      <c r="A48" s="46" t="s">
        <v>30</v>
      </c>
      <c r="B48" s="19"/>
      <c r="C48" s="4" t="s">
        <v>24</v>
      </c>
      <c r="D48" s="4" t="s">
        <v>21</v>
      </c>
      <c r="E48" s="10">
        <v>1</v>
      </c>
      <c r="F48" s="10">
        <v>1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5">
        <v>0</v>
      </c>
      <c r="N48" s="10">
        <v>0</v>
      </c>
      <c r="O48" s="10">
        <v>12</v>
      </c>
      <c r="P48" s="3">
        <f t="shared" ref="P48:P49" si="7">SUM(E48:O48)</f>
        <v>14</v>
      </c>
      <c r="Q48" s="8"/>
    </row>
    <row r="49" spans="1:17" ht="20.25" x14ac:dyDescent="0.25">
      <c r="A49" s="46" t="s">
        <v>30</v>
      </c>
      <c r="B49" s="19"/>
      <c r="C49" s="4" t="s">
        <v>52</v>
      </c>
      <c r="D49" s="4" t="s">
        <v>21</v>
      </c>
      <c r="E49" s="5">
        <v>3</v>
      </c>
      <c r="F49" s="5">
        <v>2</v>
      </c>
      <c r="G49" s="5">
        <v>0</v>
      </c>
      <c r="H49" s="5">
        <v>0</v>
      </c>
      <c r="I49" s="5">
        <v>1</v>
      </c>
      <c r="J49" s="5">
        <v>1</v>
      </c>
      <c r="K49" s="5">
        <v>1</v>
      </c>
      <c r="L49" s="5">
        <v>4</v>
      </c>
      <c r="M49" s="5">
        <v>2</v>
      </c>
      <c r="N49" s="5">
        <v>0</v>
      </c>
      <c r="O49" s="5">
        <v>5</v>
      </c>
      <c r="P49" s="3">
        <f t="shared" si="7"/>
        <v>19</v>
      </c>
      <c r="Q49" s="8" t="s">
        <v>58</v>
      </c>
    </row>
    <row r="50" spans="1:17" ht="20.25" x14ac:dyDescent="0.25">
      <c r="A50" s="46" t="s">
        <v>30</v>
      </c>
      <c r="B50" s="19"/>
      <c r="C50" s="4" t="s">
        <v>55</v>
      </c>
      <c r="D50" s="4"/>
      <c r="E50" s="5">
        <v>0</v>
      </c>
      <c r="F50" s="5">
        <v>1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3">
        <f>SUM(E50:O50)</f>
        <v>1</v>
      </c>
      <c r="Q50" s="8" t="s">
        <v>58</v>
      </c>
    </row>
    <row r="51" spans="1:17" ht="20.25" x14ac:dyDescent="0.25">
      <c r="A51" s="46" t="s">
        <v>30</v>
      </c>
      <c r="B51" s="19"/>
      <c r="C51" s="4" t="s">
        <v>24</v>
      </c>
      <c r="D51" s="4" t="s">
        <v>14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8"/>
    </row>
    <row r="52" spans="1:17" ht="20.25" x14ac:dyDescent="0.25">
      <c r="A52" s="46" t="s">
        <v>30</v>
      </c>
      <c r="B52" s="19"/>
      <c r="C52" s="4" t="s">
        <v>24</v>
      </c>
      <c r="D52" s="4" t="s">
        <v>22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8"/>
    </row>
    <row r="53" spans="1:17" ht="20.25" x14ac:dyDescent="0.3">
      <c r="A53" s="46" t="s">
        <v>30</v>
      </c>
      <c r="B53" s="19"/>
      <c r="C53" s="4" t="s">
        <v>25</v>
      </c>
      <c r="D53" s="4" t="s">
        <v>38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22</v>
      </c>
      <c r="P53" s="3">
        <v>22</v>
      </c>
      <c r="Q53" s="8"/>
    </row>
    <row r="54" spans="1:17" ht="20.25" x14ac:dyDescent="0.3">
      <c r="A54" s="46" t="s">
        <v>30</v>
      </c>
      <c r="B54" s="19"/>
      <c r="C54" s="4" t="s">
        <v>20</v>
      </c>
      <c r="D54" s="4" t="s">
        <v>38</v>
      </c>
      <c r="E54" s="6">
        <v>4</v>
      </c>
      <c r="F54" s="6">
        <v>3</v>
      </c>
      <c r="G54" s="6">
        <v>1</v>
      </c>
      <c r="H54" s="6">
        <v>2</v>
      </c>
      <c r="I54" s="6">
        <v>3</v>
      </c>
      <c r="J54" s="6">
        <v>2</v>
      </c>
      <c r="K54" s="6">
        <v>2</v>
      </c>
      <c r="L54" s="6">
        <v>0</v>
      </c>
      <c r="M54" s="6">
        <v>0</v>
      </c>
      <c r="N54" s="6">
        <v>0</v>
      </c>
      <c r="O54" s="6">
        <v>74</v>
      </c>
      <c r="P54" s="3">
        <v>91</v>
      </c>
      <c r="Q54" s="8"/>
    </row>
    <row r="55" spans="1:17" ht="20.25" x14ac:dyDescent="0.3">
      <c r="A55" s="46" t="s">
        <v>30</v>
      </c>
      <c r="B55" s="19"/>
      <c r="C55" s="4" t="s">
        <v>18</v>
      </c>
      <c r="D55" s="4" t="s">
        <v>38</v>
      </c>
      <c r="E55" s="6">
        <v>0</v>
      </c>
      <c r="F55" s="6">
        <v>2</v>
      </c>
      <c r="G55" s="6">
        <v>0</v>
      </c>
      <c r="H55" s="6">
        <v>1</v>
      </c>
      <c r="I55" s="6">
        <v>1</v>
      </c>
      <c r="J55" s="6">
        <v>1</v>
      </c>
      <c r="K55" s="6">
        <v>1</v>
      </c>
      <c r="L55" s="6">
        <v>0</v>
      </c>
      <c r="M55" s="6">
        <v>0</v>
      </c>
      <c r="N55" s="6">
        <v>0</v>
      </c>
      <c r="O55" s="6">
        <v>31</v>
      </c>
      <c r="P55" s="3">
        <v>37</v>
      </c>
      <c r="Q55" s="8"/>
    </row>
    <row r="56" spans="1:17" ht="20.25" x14ac:dyDescent="0.3">
      <c r="A56" s="46" t="s">
        <v>30</v>
      </c>
      <c r="B56" s="19"/>
      <c r="C56" s="4" t="s">
        <v>19</v>
      </c>
      <c r="D56" s="4" t="s">
        <v>38</v>
      </c>
      <c r="E56" s="6">
        <v>2</v>
      </c>
      <c r="F56" s="6">
        <v>2</v>
      </c>
      <c r="G56" s="6">
        <v>1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33</v>
      </c>
      <c r="P56" s="3">
        <v>38</v>
      </c>
      <c r="Q56" s="8"/>
    </row>
    <row r="57" spans="1:17" ht="20.25" x14ac:dyDescent="0.25">
      <c r="A57" s="46" t="s">
        <v>30</v>
      </c>
      <c r="B57" s="19"/>
      <c r="C57" s="4" t="s">
        <v>26</v>
      </c>
      <c r="D57" s="4" t="s">
        <v>51</v>
      </c>
      <c r="E57" s="10">
        <v>6</v>
      </c>
      <c r="F57" s="10">
        <v>13</v>
      </c>
      <c r="G57" s="10">
        <v>4</v>
      </c>
      <c r="H57" s="10">
        <v>0</v>
      </c>
      <c r="I57" s="10">
        <v>2</v>
      </c>
      <c r="J57" s="10">
        <v>2</v>
      </c>
      <c r="K57" s="10">
        <v>3</v>
      </c>
      <c r="L57" s="10">
        <v>10</v>
      </c>
      <c r="M57" s="10">
        <v>0</v>
      </c>
      <c r="N57" s="10">
        <v>4</v>
      </c>
      <c r="O57" s="10">
        <v>26</v>
      </c>
      <c r="P57" s="30">
        <f t="shared" ref="P57:P58" si="8">SUM(E57:O57)</f>
        <v>70</v>
      </c>
      <c r="Q57" s="8"/>
    </row>
    <row r="58" spans="1:17" ht="20.25" x14ac:dyDescent="0.25">
      <c r="A58" s="46" t="s">
        <v>30</v>
      </c>
      <c r="B58" s="19"/>
      <c r="C58" s="4" t="s">
        <v>54</v>
      </c>
      <c r="D58" s="4" t="s">
        <v>51</v>
      </c>
      <c r="E58" s="31">
        <v>0</v>
      </c>
      <c r="F58" s="31">
        <v>0</v>
      </c>
      <c r="G58" s="31">
        <v>0</v>
      </c>
      <c r="H58" s="31">
        <v>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">
        <f t="shared" si="8"/>
        <v>0</v>
      </c>
      <c r="Q58" s="8" t="s">
        <v>58</v>
      </c>
    </row>
    <row r="59" spans="1:17" ht="20.25" x14ac:dyDescent="0.3">
      <c r="A59" s="46" t="s">
        <v>30</v>
      </c>
      <c r="B59" s="19"/>
      <c r="C59" s="4" t="s">
        <v>27</v>
      </c>
      <c r="D59" s="4" t="s">
        <v>51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1</v>
      </c>
      <c r="P59" s="6">
        <v>1</v>
      </c>
      <c r="Q59" s="8"/>
    </row>
  </sheetData>
  <autoFilter ref="A1:Q59" xr:uid="{52F914DD-9CA0-4F58-9507-29CB9EFA06D1}">
    <filterColumn colId="0">
      <filters>
        <filter val="PRC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6A4E-756E-480F-94E4-598988175605}">
  <sheetPr filterMode="1"/>
  <dimension ref="A1:Q85"/>
  <sheetViews>
    <sheetView tabSelected="1" workbookViewId="0">
      <selection activeCell="F24" sqref="F24"/>
    </sheetView>
  </sheetViews>
  <sheetFormatPr defaultRowHeight="15" x14ac:dyDescent="0.25"/>
  <cols>
    <col min="1" max="1" width="13.85546875" customWidth="1"/>
    <col min="2" max="2" width="29.42578125" customWidth="1"/>
    <col min="3" max="3" width="37.7109375" bestFit="1" customWidth="1"/>
    <col min="4" max="4" width="31.5703125" customWidth="1"/>
  </cols>
  <sheetData>
    <row r="1" spans="1:17" ht="37.5" x14ac:dyDescent="0.25">
      <c r="A1" s="32" t="s">
        <v>28</v>
      </c>
      <c r="B1" s="32" t="s">
        <v>31</v>
      </c>
      <c r="C1" s="32" t="s">
        <v>15</v>
      </c>
      <c r="D1" s="32" t="s">
        <v>16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7" t="s">
        <v>11</v>
      </c>
      <c r="Q1" s="23" t="s">
        <v>56</v>
      </c>
    </row>
    <row r="2" spans="1:17" ht="20.25" hidden="1" x14ac:dyDescent="0.25">
      <c r="A2" s="2" t="s">
        <v>17</v>
      </c>
      <c r="B2" s="25" t="s">
        <v>32</v>
      </c>
      <c r="C2" s="4" t="s">
        <v>37</v>
      </c>
      <c r="D2" s="4" t="s">
        <v>51</v>
      </c>
      <c r="E2" s="5">
        <v>1</v>
      </c>
      <c r="F2" s="5">
        <v>1</v>
      </c>
      <c r="G2" s="5">
        <v>0</v>
      </c>
      <c r="H2" s="5">
        <v>0</v>
      </c>
      <c r="I2" s="5">
        <v>1</v>
      </c>
      <c r="J2" s="5">
        <v>0</v>
      </c>
      <c r="K2" s="5">
        <v>0</v>
      </c>
      <c r="L2" s="5">
        <v>2</v>
      </c>
      <c r="M2" s="20">
        <v>0</v>
      </c>
      <c r="N2" s="20">
        <v>0</v>
      </c>
      <c r="O2" s="20">
        <v>3</v>
      </c>
      <c r="P2" s="21">
        <f t="shared" ref="P2:P25" si="0">SUM(E2:O2)</f>
        <v>8</v>
      </c>
      <c r="Q2" s="8"/>
    </row>
    <row r="3" spans="1:17" ht="20.25" hidden="1" x14ac:dyDescent="0.25">
      <c r="A3" s="2" t="s">
        <v>17</v>
      </c>
      <c r="B3" s="25" t="s">
        <v>32</v>
      </c>
      <c r="C3" s="4" t="s">
        <v>57</v>
      </c>
      <c r="D3" s="4" t="s">
        <v>51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20">
        <v>0</v>
      </c>
      <c r="N3" s="20">
        <v>1</v>
      </c>
      <c r="O3" s="20">
        <v>0</v>
      </c>
      <c r="P3" s="21">
        <f t="shared" si="0"/>
        <v>2</v>
      </c>
      <c r="Q3" s="8" t="s">
        <v>58</v>
      </c>
    </row>
    <row r="4" spans="1:17" ht="20.25" hidden="1" x14ac:dyDescent="0.25">
      <c r="A4" s="2" t="s">
        <v>17</v>
      </c>
      <c r="B4" s="25" t="s">
        <v>33</v>
      </c>
      <c r="C4" s="4" t="s">
        <v>37</v>
      </c>
      <c r="D4" s="4" t="s">
        <v>51</v>
      </c>
      <c r="E4" s="5">
        <v>1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2</v>
      </c>
      <c r="M4" s="20">
        <v>0</v>
      </c>
      <c r="N4" s="20">
        <v>0</v>
      </c>
      <c r="O4" s="20">
        <v>4</v>
      </c>
      <c r="P4" s="21">
        <f t="shared" si="0"/>
        <v>8</v>
      </c>
      <c r="Q4" s="8"/>
    </row>
    <row r="5" spans="1:17" ht="20.25" hidden="1" x14ac:dyDescent="0.25">
      <c r="A5" s="2" t="s">
        <v>17</v>
      </c>
      <c r="B5" s="25" t="s">
        <v>33</v>
      </c>
      <c r="C5" s="4" t="s">
        <v>57</v>
      </c>
      <c r="D5" s="4" t="s">
        <v>51</v>
      </c>
      <c r="E5" s="5">
        <v>0</v>
      </c>
      <c r="F5" s="5">
        <v>0</v>
      </c>
      <c r="G5" s="5">
        <v>0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20">
        <v>0</v>
      </c>
      <c r="N5" s="20">
        <v>0</v>
      </c>
      <c r="O5" s="20">
        <v>0</v>
      </c>
      <c r="P5" s="21">
        <f t="shared" si="0"/>
        <v>1</v>
      </c>
      <c r="Q5" s="8" t="s">
        <v>58</v>
      </c>
    </row>
    <row r="6" spans="1:17" ht="20.25" hidden="1" x14ac:dyDescent="0.25">
      <c r="A6" s="2" t="s">
        <v>17</v>
      </c>
      <c r="B6" s="25" t="s">
        <v>34</v>
      </c>
      <c r="C6" s="4" t="s">
        <v>37</v>
      </c>
      <c r="D6" s="4" t="s">
        <v>51</v>
      </c>
      <c r="E6" s="5">
        <v>2</v>
      </c>
      <c r="F6" s="5">
        <v>0</v>
      </c>
      <c r="G6" s="5">
        <v>0</v>
      </c>
      <c r="H6" s="5">
        <v>1</v>
      </c>
      <c r="I6" s="5">
        <v>0</v>
      </c>
      <c r="J6" s="5">
        <v>0</v>
      </c>
      <c r="K6" s="5">
        <v>0</v>
      </c>
      <c r="L6" s="5">
        <v>2</v>
      </c>
      <c r="M6" s="20">
        <v>0</v>
      </c>
      <c r="N6" s="20">
        <v>0</v>
      </c>
      <c r="O6" s="20">
        <v>5</v>
      </c>
      <c r="P6" s="21">
        <f t="shared" si="0"/>
        <v>10</v>
      </c>
      <c r="Q6" s="8"/>
    </row>
    <row r="7" spans="1:17" ht="20.25" hidden="1" x14ac:dyDescent="0.25">
      <c r="A7" s="2" t="s">
        <v>17</v>
      </c>
      <c r="B7" s="25" t="s">
        <v>34</v>
      </c>
      <c r="C7" s="4" t="s">
        <v>57</v>
      </c>
      <c r="D7" s="4" t="s">
        <v>51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20">
        <v>0</v>
      </c>
      <c r="N7" s="20">
        <v>0</v>
      </c>
      <c r="O7" s="20">
        <v>0</v>
      </c>
      <c r="P7" s="21">
        <f t="shared" si="0"/>
        <v>1</v>
      </c>
      <c r="Q7" s="8" t="s">
        <v>58</v>
      </c>
    </row>
    <row r="8" spans="1:17" ht="20.25" hidden="1" x14ac:dyDescent="0.25">
      <c r="A8" s="2" t="s">
        <v>17</v>
      </c>
      <c r="B8" s="25" t="s">
        <v>35</v>
      </c>
      <c r="C8" s="4" t="s">
        <v>37</v>
      </c>
      <c r="D8" s="4" t="s">
        <v>51</v>
      </c>
      <c r="E8" s="5">
        <v>2</v>
      </c>
      <c r="F8" s="5">
        <v>1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1</v>
      </c>
      <c r="M8" s="20">
        <v>0</v>
      </c>
      <c r="N8" s="20">
        <v>1</v>
      </c>
      <c r="O8" s="20">
        <v>4</v>
      </c>
      <c r="P8" s="21">
        <f t="shared" si="0"/>
        <v>11</v>
      </c>
      <c r="Q8" s="8"/>
    </row>
    <row r="9" spans="1:17" ht="20.25" hidden="1" x14ac:dyDescent="0.25">
      <c r="A9" s="2" t="s">
        <v>17</v>
      </c>
      <c r="B9" s="25" t="s">
        <v>35</v>
      </c>
      <c r="C9" s="4" t="s">
        <v>57</v>
      </c>
      <c r="D9" s="4" t="s">
        <v>51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20">
        <v>0</v>
      </c>
      <c r="N9" s="20">
        <v>0</v>
      </c>
      <c r="O9" s="20">
        <v>0</v>
      </c>
      <c r="P9" s="21">
        <f t="shared" si="0"/>
        <v>0</v>
      </c>
      <c r="Q9" s="8" t="s">
        <v>58</v>
      </c>
    </row>
    <row r="10" spans="1:17" ht="20.25" hidden="1" x14ac:dyDescent="0.25">
      <c r="A10" s="2" t="s">
        <v>17</v>
      </c>
      <c r="B10" s="26" t="s">
        <v>36</v>
      </c>
      <c r="C10" s="4" t="s">
        <v>37</v>
      </c>
      <c r="D10" s="4" t="s">
        <v>51</v>
      </c>
      <c r="E10" s="5">
        <v>1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2</v>
      </c>
      <c r="M10" s="20">
        <v>0</v>
      </c>
      <c r="N10" s="20">
        <v>0</v>
      </c>
      <c r="O10" s="20">
        <v>4</v>
      </c>
      <c r="P10" s="21">
        <f t="shared" si="0"/>
        <v>8</v>
      </c>
      <c r="Q10" s="8"/>
    </row>
    <row r="11" spans="1:17" ht="18.75" hidden="1" x14ac:dyDescent="0.25">
      <c r="A11" s="2" t="s">
        <v>17</v>
      </c>
      <c r="B11" s="26" t="s">
        <v>36</v>
      </c>
      <c r="C11" s="4" t="s">
        <v>57</v>
      </c>
      <c r="D11" s="4" t="s">
        <v>51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1">
        <f t="shared" si="0"/>
        <v>0</v>
      </c>
      <c r="Q11" s="8" t="s">
        <v>58</v>
      </c>
    </row>
    <row r="12" spans="1:17" ht="20.25" hidden="1" x14ac:dyDescent="0.25">
      <c r="A12" s="2" t="s">
        <v>29</v>
      </c>
      <c r="B12" s="28" t="s">
        <v>39</v>
      </c>
      <c r="C12" s="4" t="s">
        <v>37</v>
      </c>
      <c r="D12" s="4" t="s">
        <v>51</v>
      </c>
      <c r="E12" s="5">
        <v>2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1</v>
      </c>
      <c r="L12" s="5">
        <v>4</v>
      </c>
      <c r="M12" s="5">
        <v>0</v>
      </c>
      <c r="N12" s="5">
        <v>0</v>
      </c>
      <c r="O12" s="5">
        <v>4</v>
      </c>
      <c r="P12" s="11">
        <f t="shared" si="0"/>
        <v>12</v>
      </c>
      <c r="Q12" s="8"/>
    </row>
    <row r="13" spans="1:17" ht="18.75" hidden="1" x14ac:dyDescent="0.25">
      <c r="A13" s="2" t="s">
        <v>29</v>
      </c>
      <c r="B13" s="28" t="s">
        <v>39</v>
      </c>
      <c r="C13" s="4" t="s">
        <v>57</v>
      </c>
      <c r="D13" s="4" t="s">
        <v>51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7">
        <f t="shared" si="0"/>
        <v>0</v>
      </c>
      <c r="Q13" s="8" t="s">
        <v>58</v>
      </c>
    </row>
    <row r="14" spans="1:17" ht="20.25" hidden="1" x14ac:dyDescent="0.25">
      <c r="A14" s="2" t="s">
        <v>29</v>
      </c>
      <c r="B14" s="28" t="s">
        <v>40</v>
      </c>
      <c r="C14" s="4" t="s">
        <v>37</v>
      </c>
      <c r="D14" s="4" t="s">
        <v>51</v>
      </c>
      <c r="E14" s="5">
        <v>1</v>
      </c>
      <c r="F14" s="5">
        <v>1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  <c r="L14" s="5">
        <v>3</v>
      </c>
      <c r="M14" s="5">
        <v>0</v>
      </c>
      <c r="N14" s="5">
        <v>0</v>
      </c>
      <c r="O14" s="5">
        <v>4</v>
      </c>
      <c r="P14" s="7">
        <f t="shared" si="0"/>
        <v>10</v>
      </c>
      <c r="Q14" s="8"/>
    </row>
    <row r="15" spans="1:17" ht="18.75" hidden="1" x14ac:dyDescent="0.25">
      <c r="A15" s="2" t="s">
        <v>29</v>
      </c>
      <c r="B15" s="28" t="s">
        <v>40</v>
      </c>
      <c r="C15" s="4" t="s">
        <v>57</v>
      </c>
      <c r="D15" s="4" t="s">
        <v>51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1</v>
      </c>
      <c r="O15" s="20">
        <v>0</v>
      </c>
      <c r="P15" s="7">
        <f t="shared" si="0"/>
        <v>1</v>
      </c>
      <c r="Q15" s="8" t="s">
        <v>58</v>
      </c>
    </row>
    <row r="16" spans="1:17" ht="20.25" hidden="1" x14ac:dyDescent="0.25">
      <c r="A16" s="2" t="s">
        <v>29</v>
      </c>
      <c r="B16" s="28" t="s">
        <v>41</v>
      </c>
      <c r="C16" s="4" t="s">
        <v>37</v>
      </c>
      <c r="D16" s="4" t="s">
        <v>51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3</v>
      </c>
      <c r="M16" s="5">
        <v>0</v>
      </c>
      <c r="N16" s="5">
        <v>1</v>
      </c>
      <c r="O16" s="5">
        <v>3</v>
      </c>
      <c r="P16" s="7">
        <f t="shared" si="0"/>
        <v>7</v>
      </c>
      <c r="Q16" s="8"/>
    </row>
    <row r="17" spans="1:17" ht="18.75" hidden="1" x14ac:dyDescent="0.25">
      <c r="A17" s="2" t="s">
        <v>29</v>
      </c>
      <c r="B17" s="28" t="s">
        <v>41</v>
      </c>
      <c r="C17" s="4" t="s">
        <v>57</v>
      </c>
      <c r="D17" s="4" t="s">
        <v>51</v>
      </c>
      <c r="E17" s="20">
        <v>1</v>
      </c>
      <c r="F17" s="20">
        <v>1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7">
        <f t="shared" si="0"/>
        <v>2</v>
      </c>
      <c r="Q17" s="8" t="s">
        <v>58</v>
      </c>
    </row>
    <row r="18" spans="1:17" ht="20.25" hidden="1" x14ac:dyDescent="0.25">
      <c r="A18" s="2" t="s">
        <v>29</v>
      </c>
      <c r="B18" s="28" t="s">
        <v>42</v>
      </c>
      <c r="C18" s="4" t="s">
        <v>37</v>
      </c>
      <c r="D18" s="4" t="s">
        <v>51</v>
      </c>
      <c r="E18" s="5">
        <v>1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2</v>
      </c>
      <c r="M18" s="5">
        <v>1</v>
      </c>
      <c r="N18" s="5">
        <v>0</v>
      </c>
      <c r="O18" s="5">
        <v>4</v>
      </c>
      <c r="P18" s="7">
        <f t="shared" si="0"/>
        <v>9</v>
      </c>
      <c r="Q18" s="8"/>
    </row>
    <row r="19" spans="1:17" ht="18.75" hidden="1" x14ac:dyDescent="0.25">
      <c r="A19" s="2" t="s">
        <v>29</v>
      </c>
      <c r="B19" s="28" t="s">
        <v>42</v>
      </c>
      <c r="C19" s="4" t="s">
        <v>57</v>
      </c>
      <c r="D19" s="4" t="s">
        <v>51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7">
        <f t="shared" si="0"/>
        <v>0</v>
      </c>
      <c r="Q19" s="8" t="s">
        <v>58</v>
      </c>
    </row>
    <row r="20" spans="1:17" ht="20.25" x14ac:dyDescent="0.25">
      <c r="A20" s="2" t="s">
        <v>30</v>
      </c>
      <c r="B20" s="12" t="s">
        <v>45</v>
      </c>
      <c r="C20" s="4" t="s">
        <v>37</v>
      </c>
      <c r="D20" s="4" t="s">
        <v>51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37">
        <f t="shared" si="0"/>
        <v>0</v>
      </c>
      <c r="Q20" s="8"/>
    </row>
    <row r="21" spans="1:17" ht="20.25" x14ac:dyDescent="0.25">
      <c r="A21" s="2" t="s">
        <v>30</v>
      </c>
      <c r="B21" s="12" t="s">
        <v>45</v>
      </c>
      <c r="C21" s="4" t="s">
        <v>57</v>
      </c>
      <c r="D21" s="4" t="s">
        <v>51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37">
        <f t="shared" si="0"/>
        <v>0</v>
      </c>
      <c r="Q21" s="8" t="s">
        <v>58</v>
      </c>
    </row>
    <row r="22" spans="1:17" ht="20.25" x14ac:dyDescent="0.25">
      <c r="A22" s="2" t="s">
        <v>30</v>
      </c>
      <c r="B22" s="12" t="s">
        <v>46</v>
      </c>
      <c r="C22" s="4" t="s">
        <v>37</v>
      </c>
      <c r="D22" s="4" t="s">
        <v>51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37">
        <f t="shared" si="0"/>
        <v>0</v>
      </c>
      <c r="Q22" s="8"/>
    </row>
    <row r="23" spans="1:17" ht="20.25" x14ac:dyDescent="0.25">
      <c r="A23" s="2" t="s">
        <v>30</v>
      </c>
      <c r="B23" s="12" t="s">
        <v>46</v>
      </c>
      <c r="C23" s="4" t="s">
        <v>57</v>
      </c>
      <c r="D23" s="4" t="s">
        <v>51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37">
        <f t="shared" si="0"/>
        <v>0</v>
      </c>
      <c r="Q23" s="8" t="s">
        <v>58</v>
      </c>
    </row>
    <row r="24" spans="1:17" ht="20.25" x14ac:dyDescent="0.25">
      <c r="A24" s="2" t="s">
        <v>30</v>
      </c>
      <c r="B24" s="27" t="s">
        <v>43</v>
      </c>
      <c r="C24" s="4" t="s">
        <v>37</v>
      </c>
      <c r="D24" s="4" t="s">
        <v>51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37">
        <f t="shared" si="0"/>
        <v>0</v>
      </c>
      <c r="Q24" s="8"/>
    </row>
    <row r="25" spans="1:17" ht="20.25" x14ac:dyDescent="0.25">
      <c r="A25" s="2" t="s">
        <v>30</v>
      </c>
      <c r="B25" s="27" t="s">
        <v>43</v>
      </c>
      <c r="C25" s="4" t="s">
        <v>57</v>
      </c>
      <c r="D25" s="4" t="s">
        <v>51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0</v>
      </c>
      <c r="K25" s="10">
        <v>1</v>
      </c>
      <c r="L25" s="10">
        <v>0</v>
      </c>
      <c r="M25" s="35">
        <v>0</v>
      </c>
      <c r="N25" s="35">
        <v>0</v>
      </c>
      <c r="O25" s="35">
        <v>1</v>
      </c>
      <c r="P25" s="37">
        <f t="shared" si="0"/>
        <v>3</v>
      </c>
      <c r="Q25" s="8" t="s">
        <v>58</v>
      </c>
    </row>
    <row r="26" spans="1:17" ht="18.75" hidden="1" x14ac:dyDescent="0.25">
      <c r="A26" s="2" t="s">
        <v>17</v>
      </c>
      <c r="B26" s="25" t="s">
        <v>32</v>
      </c>
      <c r="C26" s="4" t="s">
        <v>44</v>
      </c>
      <c r="D26" s="4" t="s">
        <v>51</v>
      </c>
      <c r="E26" s="20">
        <v>1</v>
      </c>
      <c r="F26" s="20">
        <v>1</v>
      </c>
      <c r="G26" s="20">
        <v>1</v>
      </c>
      <c r="H26" s="20">
        <v>1</v>
      </c>
      <c r="I26" s="20">
        <v>1</v>
      </c>
      <c r="J26" s="20">
        <v>0</v>
      </c>
      <c r="K26" s="20">
        <v>0</v>
      </c>
      <c r="L26" s="20">
        <v>2</v>
      </c>
      <c r="M26" s="20">
        <v>0</v>
      </c>
      <c r="N26" s="20">
        <v>1</v>
      </c>
      <c r="O26" s="20">
        <v>6</v>
      </c>
      <c r="P26" s="21">
        <f>SUM(E26:O26)</f>
        <v>14</v>
      </c>
      <c r="Q26" s="8"/>
    </row>
    <row r="27" spans="1:17" ht="18.75" hidden="1" x14ac:dyDescent="0.25">
      <c r="A27" s="2" t="s">
        <v>17</v>
      </c>
      <c r="B27" s="25" t="s">
        <v>32</v>
      </c>
      <c r="C27" s="8" t="s">
        <v>59</v>
      </c>
      <c r="D27" s="4" t="s">
        <v>51</v>
      </c>
      <c r="E27" s="20">
        <v>1</v>
      </c>
      <c r="F27" s="42">
        <v>1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1</v>
      </c>
      <c r="M27" s="20">
        <v>0</v>
      </c>
      <c r="N27" s="20">
        <v>1</v>
      </c>
      <c r="O27" s="20">
        <v>0</v>
      </c>
      <c r="P27" s="21">
        <v>4</v>
      </c>
      <c r="Q27" s="8" t="s">
        <v>58</v>
      </c>
    </row>
    <row r="28" spans="1:17" ht="18.75" hidden="1" x14ac:dyDescent="0.25">
      <c r="A28" s="2" t="s">
        <v>17</v>
      </c>
      <c r="B28" s="25" t="s">
        <v>33</v>
      </c>
      <c r="C28" s="4" t="s">
        <v>44</v>
      </c>
      <c r="D28" s="4" t="s">
        <v>51</v>
      </c>
      <c r="E28" s="20">
        <v>0</v>
      </c>
      <c r="F28" s="20">
        <v>1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2</v>
      </c>
      <c r="P28" s="21">
        <f>SUM(E28:O28)</f>
        <v>3</v>
      </c>
      <c r="Q28" s="8"/>
    </row>
    <row r="29" spans="1:17" ht="18.75" hidden="1" x14ac:dyDescent="0.25">
      <c r="A29" s="2" t="s">
        <v>17</v>
      </c>
      <c r="B29" s="25" t="s">
        <v>33</v>
      </c>
      <c r="C29" s="8" t="s">
        <v>59</v>
      </c>
      <c r="D29" s="4" t="s">
        <v>51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1">
        <v>0</v>
      </c>
      <c r="Q29" s="8" t="s">
        <v>58</v>
      </c>
    </row>
    <row r="30" spans="1:17" ht="18.75" hidden="1" x14ac:dyDescent="0.25">
      <c r="A30" s="2" t="s">
        <v>17</v>
      </c>
      <c r="B30" s="25" t="s">
        <v>34</v>
      </c>
      <c r="C30" s="4" t="s">
        <v>44</v>
      </c>
      <c r="D30" s="4" t="s">
        <v>51</v>
      </c>
      <c r="E30" s="20">
        <v>0</v>
      </c>
      <c r="F30" s="20">
        <v>1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1</v>
      </c>
      <c r="O30" s="20">
        <v>2</v>
      </c>
      <c r="P30" s="21">
        <f>SUM(E30:O30)</f>
        <v>4</v>
      </c>
      <c r="Q30" s="8"/>
    </row>
    <row r="31" spans="1:17" ht="18.75" hidden="1" x14ac:dyDescent="0.25">
      <c r="A31" s="2" t="s">
        <v>17</v>
      </c>
      <c r="B31" s="25" t="s">
        <v>34</v>
      </c>
      <c r="C31" s="8" t="s">
        <v>59</v>
      </c>
      <c r="D31" s="4" t="s">
        <v>51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1">
        <v>0</v>
      </c>
      <c r="Q31" s="8" t="s">
        <v>58</v>
      </c>
    </row>
    <row r="32" spans="1:17" ht="18.75" hidden="1" x14ac:dyDescent="0.25">
      <c r="A32" s="2" t="s">
        <v>17</v>
      </c>
      <c r="B32" s="25" t="s">
        <v>35</v>
      </c>
      <c r="C32" s="4" t="s">
        <v>44</v>
      </c>
      <c r="D32" s="4" t="s">
        <v>51</v>
      </c>
      <c r="E32" s="20">
        <v>2</v>
      </c>
      <c r="F32" s="20">
        <v>0</v>
      </c>
      <c r="G32" s="20">
        <v>1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2</v>
      </c>
      <c r="P32" s="21">
        <f>SUM(E32:O32)</f>
        <v>5</v>
      </c>
      <c r="Q32" s="8"/>
    </row>
    <row r="33" spans="1:17" ht="18.75" hidden="1" x14ac:dyDescent="0.25">
      <c r="A33" s="2" t="s">
        <v>17</v>
      </c>
      <c r="B33" s="25" t="s">
        <v>35</v>
      </c>
      <c r="C33" s="8" t="s">
        <v>59</v>
      </c>
      <c r="D33" s="4" t="s">
        <v>51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1">
        <v>0</v>
      </c>
      <c r="Q33" s="8" t="s">
        <v>58</v>
      </c>
    </row>
    <row r="34" spans="1:17" ht="18.75" hidden="1" x14ac:dyDescent="0.25">
      <c r="A34" s="2" t="s">
        <v>17</v>
      </c>
      <c r="B34" s="26" t="s">
        <v>36</v>
      </c>
      <c r="C34" s="4" t="s">
        <v>44</v>
      </c>
      <c r="D34" s="4" t="s">
        <v>51</v>
      </c>
      <c r="E34" s="20">
        <v>0</v>
      </c>
      <c r="F34" s="20">
        <v>1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4</v>
      </c>
      <c r="P34" s="21">
        <f>SUM(E34:O34)</f>
        <v>5</v>
      </c>
      <c r="Q34" s="8"/>
    </row>
    <row r="35" spans="1:17" ht="18.75" hidden="1" x14ac:dyDescent="0.25">
      <c r="A35" s="2" t="s">
        <v>17</v>
      </c>
      <c r="B35" s="26" t="s">
        <v>36</v>
      </c>
      <c r="C35" s="8" t="s">
        <v>59</v>
      </c>
      <c r="D35" s="4" t="s">
        <v>51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1">
        <v>0</v>
      </c>
      <c r="Q35" s="8" t="s">
        <v>58</v>
      </c>
    </row>
    <row r="36" spans="1:17" ht="20.25" hidden="1" x14ac:dyDescent="0.25">
      <c r="A36" s="2" t="s">
        <v>29</v>
      </c>
      <c r="B36" s="28" t="s">
        <v>39</v>
      </c>
      <c r="C36" s="4" t="s">
        <v>44</v>
      </c>
      <c r="D36" s="4" t="s">
        <v>51</v>
      </c>
      <c r="E36" s="5">
        <v>1</v>
      </c>
      <c r="F36" s="5">
        <v>1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1</v>
      </c>
      <c r="O36" s="5">
        <v>2</v>
      </c>
      <c r="P36" s="43">
        <f>SUM(E36:O36)</f>
        <v>5</v>
      </c>
      <c r="Q36" s="8"/>
    </row>
    <row r="37" spans="1:17" ht="18.75" hidden="1" x14ac:dyDescent="0.25">
      <c r="A37" s="2" t="s">
        <v>29</v>
      </c>
      <c r="B37" s="28" t="s">
        <v>39</v>
      </c>
      <c r="C37" s="8" t="s">
        <v>59</v>
      </c>
      <c r="D37" s="4" t="s">
        <v>51</v>
      </c>
      <c r="E37" s="36">
        <v>0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0</v>
      </c>
      <c r="N37" s="36">
        <v>0</v>
      </c>
      <c r="O37" s="36">
        <v>0</v>
      </c>
      <c r="P37" s="36">
        <v>0</v>
      </c>
      <c r="Q37" s="8" t="s">
        <v>58</v>
      </c>
    </row>
    <row r="38" spans="1:17" ht="18.75" hidden="1" x14ac:dyDescent="0.25">
      <c r="A38" s="2" t="s">
        <v>29</v>
      </c>
      <c r="B38" s="28" t="s">
        <v>40</v>
      </c>
      <c r="C38" s="4" t="s">
        <v>44</v>
      </c>
      <c r="D38" s="4" t="s">
        <v>51</v>
      </c>
      <c r="E38" s="20">
        <v>1</v>
      </c>
      <c r="F38" s="20">
        <v>1</v>
      </c>
      <c r="G38" s="20">
        <v>0</v>
      </c>
      <c r="H38" s="20">
        <v>1</v>
      </c>
      <c r="I38" s="20">
        <v>0</v>
      </c>
      <c r="J38" s="20">
        <v>0</v>
      </c>
      <c r="K38" s="20">
        <v>0</v>
      </c>
      <c r="L38" s="20">
        <v>1</v>
      </c>
      <c r="M38" s="20">
        <v>0</v>
      </c>
      <c r="N38" s="20">
        <v>0</v>
      </c>
      <c r="O38" s="20">
        <v>1</v>
      </c>
      <c r="P38" s="21">
        <f>SUM(E38:O38)</f>
        <v>5</v>
      </c>
      <c r="Q38" s="8"/>
    </row>
    <row r="39" spans="1:17" ht="18.75" hidden="1" x14ac:dyDescent="0.25">
      <c r="A39" s="2" t="s">
        <v>29</v>
      </c>
      <c r="B39" s="28" t="s">
        <v>40</v>
      </c>
      <c r="C39" s="8" t="s">
        <v>59</v>
      </c>
      <c r="D39" s="4" t="s">
        <v>51</v>
      </c>
      <c r="E39" s="36">
        <v>0</v>
      </c>
      <c r="F39" s="36">
        <v>0</v>
      </c>
      <c r="G39" s="36">
        <v>0</v>
      </c>
      <c r="H39" s="36">
        <v>0</v>
      </c>
      <c r="I39" s="36">
        <v>0</v>
      </c>
      <c r="J39" s="36">
        <v>0</v>
      </c>
      <c r="K39" s="36">
        <v>0</v>
      </c>
      <c r="L39" s="36">
        <v>0</v>
      </c>
      <c r="M39" s="36">
        <v>0</v>
      </c>
      <c r="N39" s="36">
        <v>0</v>
      </c>
      <c r="O39" s="36">
        <v>0</v>
      </c>
      <c r="P39" s="36">
        <v>0</v>
      </c>
      <c r="Q39" s="8" t="s">
        <v>58</v>
      </c>
    </row>
    <row r="40" spans="1:17" ht="18.75" hidden="1" x14ac:dyDescent="0.25">
      <c r="A40" s="2" t="s">
        <v>29</v>
      </c>
      <c r="B40" s="28" t="s">
        <v>41</v>
      </c>
      <c r="C40" s="4" t="s">
        <v>44</v>
      </c>
      <c r="D40" s="4" t="s">
        <v>51</v>
      </c>
      <c r="E40" s="20">
        <v>2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1</v>
      </c>
      <c r="M40" s="20">
        <v>0</v>
      </c>
      <c r="N40" s="20">
        <v>0</v>
      </c>
      <c r="O40" s="20">
        <v>2</v>
      </c>
      <c r="P40" s="21">
        <f>SUM(E40:O40)</f>
        <v>5</v>
      </c>
      <c r="Q40" s="8"/>
    </row>
    <row r="41" spans="1:17" ht="18.75" hidden="1" x14ac:dyDescent="0.25">
      <c r="A41" s="2" t="s">
        <v>29</v>
      </c>
      <c r="B41" s="28" t="s">
        <v>41</v>
      </c>
      <c r="C41" s="8" t="s">
        <v>59</v>
      </c>
      <c r="D41" s="4" t="s">
        <v>51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8" t="s">
        <v>58</v>
      </c>
    </row>
    <row r="42" spans="1:17" ht="18.75" hidden="1" x14ac:dyDescent="0.25">
      <c r="A42" s="2" t="s">
        <v>29</v>
      </c>
      <c r="B42" s="28" t="s">
        <v>42</v>
      </c>
      <c r="C42" s="4" t="s">
        <v>44</v>
      </c>
      <c r="D42" s="4" t="s">
        <v>51</v>
      </c>
      <c r="E42" s="20">
        <v>2</v>
      </c>
      <c r="F42" s="20">
        <v>1</v>
      </c>
      <c r="G42" s="20">
        <v>0</v>
      </c>
      <c r="H42" s="20">
        <v>0</v>
      </c>
      <c r="I42" s="20">
        <v>1</v>
      </c>
      <c r="J42" s="20">
        <v>0</v>
      </c>
      <c r="K42" s="20">
        <v>0</v>
      </c>
      <c r="L42" s="20">
        <v>1</v>
      </c>
      <c r="M42" s="20">
        <v>0</v>
      </c>
      <c r="N42" s="20">
        <v>1</v>
      </c>
      <c r="O42" s="20">
        <v>5</v>
      </c>
      <c r="P42" s="21">
        <f>SUM(E42:O42)</f>
        <v>11</v>
      </c>
      <c r="Q42" s="8"/>
    </row>
    <row r="43" spans="1:17" ht="18.75" hidden="1" x14ac:dyDescent="0.25">
      <c r="A43" s="2" t="s">
        <v>29</v>
      </c>
      <c r="B43" s="28" t="s">
        <v>42</v>
      </c>
      <c r="C43" s="8" t="s">
        <v>59</v>
      </c>
      <c r="D43" s="4" t="s">
        <v>51</v>
      </c>
      <c r="E43" s="36">
        <v>0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6">
        <v>0</v>
      </c>
      <c r="N43" s="36">
        <v>0</v>
      </c>
      <c r="O43" s="36">
        <v>0</v>
      </c>
      <c r="P43" s="36">
        <v>0</v>
      </c>
      <c r="Q43" s="8" t="s">
        <v>58</v>
      </c>
    </row>
    <row r="44" spans="1:17" ht="18.75" x14ac:dyDescent="0.25">
      <c r="A44" s="2" t="s">
        <v>30</v>
      </c>
      <c r="B44" s="12" t="s">
        <v>45</v>
      </c>
      <c r="C44" s="4" t="s">
        <v>44</v>
      </c>
      <c r="D44" s="4" t="s">
        <v>51</v>
      </c>
      <c r="E44" s="36">
        <v>0</v>
      </c>
      <c r="F44" s="36">
        <v>0</v>
      </c>
      <c r="G44" s="36">
        <v>0</v>
      </c>
      <c r="H44" s="36">
        <v>0</v>
      </c>
      <c r="I44" s="36">
        <v>0</v>
      </c>
      <c r="J44" s="36">
        <v>0</v>
      </c>
      <c r="K44" s="36">
        <v>0</v>
      </c>
      <c r="L44" s="36">
        <v>1</v>
      </c>
      <c r="M44" s="36">
        <v>0</v>
      </c>
      <c r="N44" s="36">
        <v>0</v>
      </c>
      <c r="O44" s="36">
        <v>3</v>
      </c>
      <c r="P44" s="37">
        <f t="shared" ref="P44:P49" si="1">SUM(E44:O44)</f>
        <v>4</v>
      </c>
      <c r="Q44" s="8"/>
    </row>
    <row r="45" spans="1:17" ht="18.75" x14ac:dyDescent="0.25">
      <c r="A45" s="2" t="s">
        <v>30</v>
      </c>
      <c r="B45" s="12" t="s">
        <v>45</v>
      </c>
      <c r="C45" s="8" t="s">
        <v>59</v>
      </c>
      <c r="D45" s="4" t="s">
        <v>51</v>
      </c>
      <c r="E45" s="36">
        <v>1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7">
        <f t="shared" si="1"/>
        <v>1</v>
      </c>
      <c r="Q45" s="8" t="s">
        <v>58</v>
      </c>
    </row>
    <row r="46" spans="1:17" ht="18.75" x14ac:dyDescent="0.25">
      <c r="A46" s="2" t="s">
        <v>30</v>
      </c>
      <c r="B46" s="12" t="s">
        <v>46</v>
      </c>
      <c r="C46" s="4" t="s">
        <v>44</v>
      </c>
      <c r="D46" s="4" t="s">
        <v>51</v>
      </c>
      <c r="E46" s="38">
        <v>1</v>
      </c>
      <c r="F46" s="38">
        <v>2</v>
      </c>
      <c r="G46" s="38">
        <v>0</v>
      </c>
      <c r="H46" s="38">
        <v>0</v>
      </c>
      <c r="I46" s="38">
        <v>1</v>
      </c>
      <c r="J46" s="38">
        <v>0</v>
      </c>
      <c r="K46" s="38">
        <v>0</v>
      </c>
      <c r="L46" s="38">
        <v>0</v>
      </c>
      <c r="M46" s="38">
        <v>0</v>
      </c>
      <c r="N46" s="38">
        <v>0</v>
      </c>
      <c r="O46" s="38">
        <v>2</v>
      </c>
      <c r="P46" s="37">
        <f t="shared" si="1"/>
        <v>6</v>
      </c>
      <c r="Q46" s="8"/>
    </row>
    <row r="47" spans="1:17" ht="20.25" x14ac:dyDescent="0.25">
      <c r="A47" s="2" t="s">
        <v>30</v>
      </c>
      <c r="B47" s="12" t="s">
        <v>46</v>
      </c>
      <c r="C47" s="8" t="s">
        <v>59</v>
      </c>
      <c r="D47" s="4" t="s">
        <v>51</v>
      </c>
      <c r="E47" s="39">
        <v>0</v>
      </c>
      <c r="F47" s="39">
        <v>0</v>
      </c>
      <c r="G47" s="39">
        <v>0</v>
      </c>
      <c r="H47" s="39">
        <v>0</v>
      </c>
      <c r="I47" s="39">
        <v>0</v>
      </c>
      <c r="J47" s="39">
        <v>0</v>
      </c>
      <c r="K47" s="39">
        <v>0</v>
      </c>
      <c r="L47" s="39">
        <v>1</v>
      </c>
      <c r="M47" s="39">
        <v>0</v>
      </c>
      <c r="N47" s="39">
        <v>0</v>
      </c>
      <c r="O47" s="40">
        <v>0</v>
      </c>
      <c r="P47" s="37">
        <f t="shared" si="1"/>
        <v>1</v>
      </c>
      <c r="Q47" s="8" t="s">
        <v>58</v>
      </c>
    </row>
    <row r="48" spans="1:17" ht="18.75" x14ac:dyDescent="0.25">
      <c r="A48" s="2" t="s">
        <v>30</v>
      </c>
      <c r="B48" s="27" t="s">
        <v>43</v>
      </c>
      <c r="C48" s="4" t="s">
        <v>44</v>
      </c>
      <c r="D48" s="4" t="s">
        <v>51</v>
      </c>
      <c r="E48" s="38">
        <v>1</v>
      </c>
      <c r="F48" s="38">
        <v>1</v>
      </c>
      <c r="G48" s="38">
        <v>0</v>
      </c>
      <c r="H48" s="38">
        <v>0</v>
      </c>
      <c r="I48" s="38">
        <v>0</v>
      </c>
      <c r="J48" s="38">
        <v>0</v>
      </c>
      <c r="K48" s="38">
        <v>0</v>
      </c>
      <c r="L48" s="38">
        <v>2</v>
      </c>
      <c r="M48" s="38">
        <v>0</v>
      </c>
      <c r="N48" s="38">
        <v>0</v>
      </c>
      <c r="O48" s="38">
        <v>4</v>
      </c>
      <c r="P48" s="37">
        <f t="shared" si="1"/>
        <v>8</v>
      </c>
      <c r="Q48" s="8"/>
    </row>
    <row r="49" spans="1:17" ht="20.25" x14ac:dyDescent="0.25">
      <c r="A49" s="2" t="s">
        <v>30</v>
      </c>
      <c r="B49" s="27" t="s">
        <v>43</v>
      </c>
      <c r="C49" s="8" t="s">
        <v>59</v>
      </c>
      <c r="D49" s="4" t="s">
        <v>51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37">
        <f t="shared" si="1"/>
        <v>0</v>
      </c>
      <c r="Q49" s="8" t="s">
        <v>58</v>
      </c>
    </row>
    <row r="50" spans="1:17" ht="18.75" hidden="1" x14ac:dyDescent="0.25">
      <c r="A50" s="2" t="s">
        <v>17</v>
      </c>
      <c r="B50" s="25" t="s">
        <v>32</v>
      </c>
      <c r="C50" s="12" t="s">
        <v>48</v>
      </c>
      <c r="D50" s="4" t="s">
        <v>38</v>
      </c>
      <c r="E50" s="20">
        <v>4</v>
      </c>
      <c r="F50" s="20">
        <v>2</v>
      </c>
      <c r="G50" s="20">
        <v>2</v>
      </c>
      <c r="H50" s="20">
        <v>0</v>
      </c>
      <c r="I50" s="20">
        <v>1</v>
      </c>
      <c r="J50" s="20">
        <v>0</v>
      </c>
      <c r="K50" s="20">
        <v>2</v>
      </c>
      <c r="L50" s="20">
        <v>0</v>
      </c>
      <c r="M50" s="20">
        <v>0</v>
      </c>
      <c r="N50" s="20">
        <v>0</v>
      </c>
      <c r="O50" s="20">
        <v>58</v>
      </c>
      <c r="P50" s="7">
        <v>69</v>
      </c>
      <c r="Q50" s="8"/>
    </row>
    <row r="51" spans="1:17" ht="18.75" hidden="1" x14ac:dyDescent="0.25">
      <c r="A51" s="2" t="s">
        <v>17</v>
      </c>
      <c r="B51" s="25" t="s">
        <v>33</v>
      </c>
      <c r="C51" s="12" t="s">
        <v>48</v>
      </c>
      <c r="D51" s="4" t="s">
        <v>38</v>
      </c>
      <c r="E51" s="20">
        <v>2</v>
      </c>
      <c r="F51" s="20">
        <v>2</v>
      </c>
      <c r="G51" s="20">
        <v>1</v>
      </c>
      <c r="H51" s="20">
        <v>3</v>
      </c>
      <c r="I51" s="20">
        <v>1</v>
      </c>
      <c r="J51" s="20">
        <v>1</v>
      </c>
      <c r="K51" s="20">
        <v>0</v>
      </c>
      <c r="L51" s="20">
        <v>0</v>
      </c>
      <c r="M51" s="20">
        <v>0</v>
      </c>
      <c r="N51" s="20">
        <v>0</v>
      </c>
      <c r="O51" s="20">
        <v>51</v>
      </c>
      <c r="P51" s="7">
        <v>61</v>
      </c>
      <c r="Q51" s="8"/>
    </row>
    <row r="52" spans="1:17" ht="18.75" hidden="1" x14ac:dyDescent="0.25">
      <c r="A52" s="2" t="s">
        <v>17</v>
      </c>
      <c r="B52" s="25" t="s">
        <v>34</v>
      </c>
      <c r="C52" s="12" t="s">
        <v>48</v>
      </c>
      <c r="D52" s="4" t="s">
        <v>38</v>
      </c>
      <c r="E52" s="20">
        <v>0</v>
      </c>
      <c r="F52" s="20">
        <v>2</v>
      </c>
      <c r="G52" s="20">
        <v>2</v>
      </c>
      <c r="H52" s="20">
        <v>1</v>
      </c>
      <c r="I52" s="20">
        <v>1</v>
      </c>
      <c r="J52" s="20">
        <v>1</v>
      </c>
      <c r="K52" s="20">
        <v>0</v>
      </c>
      <c r="L52" s="20">
        <v>0</v>
      </c>
      <c r="M52" s="20">
        <v>0</v>
      </c>
      <c r="N52" s="20">
        <v>0</v>
      </c>
      <c r="O52" s="20">
        <v>62</v>
      </c>
      <c r="P52" s="7">
        <v>69</v>
      </c>
      <c r="Q52" s="8"/>
    </row>
    <row r="53" spans="1:17" ht="18.75" hidden="1" x14ac:dyDescent="0.25">
      <c r="A53" s="2" t="s">
        <v>17</v>
      </c>
      <c r="B53" s="25" t="s">
        <v>35</v>
      </c>
      <c r="C53" s="12" t="s">
        <v>48</v>
      </c>
      <c r="D53" s="4" t="s">
        <v>38</v>
      </c>
      <c r="E53" s="20">
        <v>2</v>
      </c>
      <c r="F53" s="20">
        <v>3</v>
      </c>
      <c r="G53" s="20">
        <v>2</v>
      </c>
      <c r="H53" s="20">
        <v>1</v>
      </c>
      <c r="I53" s="20">
        <v>2</v>
      </c>
      <c r="J53" s="20">
        <v>0</v>
      </c>
      <c r="K53" s="20">
        <v>1</v>
      </c>
      <c r="L53" s="20">
        <v>0</v>
      </c>
      <c r="M53" s="20">
        <v>0</v>
      </c>
      <c r="N53" s="20">
        <v>0</v>
      </c>
      <c r="O53" s="20">
        <v>56</v>
      </c>
      <c r="P53" s="7">
        <v>67</v>
      </c>
      <c r="Q53" s="8"/>
    </row>
    <row r="54" spans="1:17" ht="18.75" hidden="1" x14ac:dyDescent="0.25">
      <c r="A54" s="2" t="s">
        <v>17</v>
      </c>
      <c r="B54" s="26" t="s">
        <v>36</v>
      </c>
      <c r="C54" s="12" t="s">
        <v>48</v>
      </c>
      <c r="D54" s="4" t="s">
        <v>38</v>
      </c>
      <c r="E54" s="20">
        <v>3</v>
      </c>
      <c r="F54" s="20">
        <v>1</v>
      </c>
      <c r="G54" s="20">
        <v>0</v>
      </c>
      <c r="H54" s="20">
        <v>1</v>
      </c>
      <c r="I54" s="20">
        <v>1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54</v>
      </c>
      <c r="P54" s="7">
        <v>60</v>
      </c>
      <c r="Q54" s="8"/>
    </row>
    <row r="55" spans="1:17" ht="18.75" hidden="1" x14ac:dyDescent="0.25">
      <c r="A55" s="2" t="s">
        <v>29</v>
      </c>
      <c r="B55" s="28" t="s">
        <v>39</v>
      </c>
      <c r="C55" s="12" t="s">
        <v>48</v>
      </c>
      <c r="D55" s="4" t="s">
        <v>38</v>
      </c>
      <c r="E55" s="20">
        <v>3</v>
      </c>
      <c r="F55" s="20">
        <v>5</v>
      </c>
      <c r="G55" s="20">
        <v>1</v>
      </c>
      <c r="H55" s="20">
        <v>2</v>
      </c>
      <c r="I55" s="20">
        <v>1</v>
      </c>
      <c r="J55" s="20">
        <v>1</v>
      </c>
      <c r="K55" s="20">
        <v>1</v>
      </c>
      <c r="L55" s="20">
        <v>0</v>
      </c>
      <c r="M55" s="20">
        <v>0</v>
      </c>
      <c r="N55" s="20">
        <v>0</v>
      </c>
      <c r="O55" s="20">
        <v>80</v>
      </c>
      <c r="P55" s="7">
        <v>94</v>
      </c>
      <c r="Q55" s="8"/>
    </row>
    <row r="56" spans="1:17" ht="18.75" hidden="1" x14ac:dyDescent="0.25">
      <c r="A56" s="2" t="s">
        <v>29</v>
      </c>
      <c r="B56" s="28" t="s">
        <v>40</v>
      </c>
      <c r="C56" s="12" t="s">
        <v>48</v>
      </c>
      <c r="D56" s="4" t="s">
        <v>38</v>
      </c>
      <c r="E56" s="20">
        <v>3</v>
      </c>
      <c r="F56" s="20">
        <v>0</v>
      </c>
      <c r="G56" s="20">
        <v>2</v>
      </c>
      <c r="H56" s="20">
        <v>1</v>
      </c>
      <c r="I56" s="20">
        <v>1</v>
      </c>
      <c r="J56" s="20">
        <v>1</v>
      </c>
      <c r="K56" s="20">
        <v>1</v>
      </c>
      <c r="L56" s="20">
        <v>0</v>
      </c>
      <c r="M56" s="20">
        <v>0</v>
      </c>
      <c r="N56" s="20">
        <v>0</v>
      </c>
      <c r="O56" s="20">
        <v>89</v>
      </c>
      <c r="P56" s="7">
        <v>98</v>
      </c>
      <c r="Q56" s="8"/>
    </row>
    <row r="57" spans="1:17" ht="18.75" hidden="1" x14ac:dyDescent="0.25">
      <c r="A57" s="2" t="s">
        <v>29</v>
      </c>
      <c r="B57" s="28" t="s">
        <v>41</v>
      </c>
      <c r="C57" s="12" t="s">
        <v>48</v>
      </c>
      <c r="D57" s="4" t="s">
        <v>38</v>
      </c>
      <c r="E57" s="20">
        <v>1</v>
      </c>
      <c r="F57" s="20">
        <v>2</v>
      </c>
      <c r="G57" s="20">
        <v>0</v>
      </c>
      <c r="H57" s="20">
        <v>0</v>
      </c>
      <c r="I57" s="20">
        <v>2</v>
      </c>
      <c r="J57" s="20">
        <v>1</v>
      </c>
      <c r="K57" s="20">
        <v>0</v>
      </c>
      <c r="L57" s="20">
        <v>0</v>
      </c>
      <c r="M57" s="20">
        <v>0</v>
      </c>
      <c r="N57" s="20">
        <v>0</v>
      </c>
      <c r="O57" s="20">
        <v>68</v>
      </c>
      <c r="P57" s="7">
        <v>74</v>
      </c>
      <c r="Q57" s="8"/>
    </row>
    <row r="58" spans="1:17" ht="18.75" hidden="1" x14ac:dyDescent="0.25">
      <c r="A58" s="2" t="s">
        <v>29</v>
      </c>
      <c r="B58" s="28" t="s">
        <v>42</v>
      </c>
      <c r="C58" s="12" t="s">
        <v>48</v>
      </c>
      <c r="D58" s="4" t="s">
        <v>38</v>
      </c>
      <c r="E58" s="20">
        <v>2</v>
      </c>
      <c r="F58" s="20">
        <v>2</v>
      </c>
      <c r="G58" s="20">
        <v>1</v>
      </c>
      <c r="H58" s="20">
        <v>2</v>
      </c>
      <c r="I58" s="20">
        <v>2</v>
      </c>
      <c r="J58" s="20">
        <v>3</v>
      </c>
      <c r="K58" s="20">
        <v>0</v>
      </c>
      <c r="L58" s="20">
        <v>0</v>
      </c>
      <c r="M58" s="20">
        <v>0</v>
      </c>
      <c r="N58" s="20">
        <v>0</v>
      </c>
      <c r="O58" s="20">
        <v>50</v>
      </c>
      <c r="P58" s="7">
        <v>62</v>
      </c>
      <c r="Q58" s="8"/>
    </row>
    <row r="59" spans="1:17" ht="18.75" x14ac:dyDescent="0.25">
      <c r="A59" s="2" t="s">
        <v>30</v>
      </c>
      <c r="B59" s="12" t="s">
        <v>45</v>
      </c>
      <c r="C59" s="12" t="s">
        <v>48</v>
      </c>
      <c r="D59" s="4" t="s">
        <v>38</v>
      </c>
      <c r="E59" s="22">
        <v>2</v>
      </c>
      <c r="F59" s="22">
        <v>2</v>
      </c>
      <c r="G59" s="22">
        <v>0</v>
      </c>
      <c r="H59" s="22">
        <v>0</v>
      </c>
      <c r="I59" s="22">
        <v>0</v>
      </c>
      <c r="J59" s="22">
        <v>0</v>
      </c>
      <c r="K59" s="22">
        <v>1</v>
      </c>
      <c r="L59" s="22">
        <v>0</v>
      </c>
      <c r="M59" s="22">
        <v>0</v>
      </c>
      <c r="N59" s="22">
        <v>0</v>
      </c>
      <c r="O59" s="22">
        <v>103</v>
      </c>
      <c r="P59" s="7">
        <v>108</v>
      </c>
      <c r="Q59" s="8"/>
    </row>
    <row r="60" spans="1:17" ht="18.75" x14ac:dyDescent="0.25">
      <c r="A60" s="2" t="s">
        <v>30</v>
      </c>
      <c r="B60" s="12" t="s">
        <v>46</v>
      </c>
      <c r="C60" s="12" t="s">
        <v>48</v>
      </c>
      <c r="D60" s="4" t="s">
        <v>38</v>
      </c>
      <c r="E60" s="20">
        <v>3</v>
      </c>
      <c r="F60" s="20">
        <v>4</v>
      </c>
      <c r="G60" s="20">
        <v>1</v>
      </c>
      <c r="H60" s="20">
        <v>0</v>
      </c>
      <c r="I60" s="20">
        <v>2</v>
      </c>
      <c r="J60" s="20">
        <v>0</v>
      </c>
      <c r="K60" s="20">
        <v>1</v>
      </c>
      <c r="L60" s="20">
        <v>0</v>
      </c>
      <c r="M60" s="20">
        <v>0</v>
      </c>
      <c r="N60" s="20">
        <v>0</v>
      </c>
      <c r="O60" s="20">
        <v>147</v>
      </c>
      <c r="P60" s="7">
        <v>158</v>
      </c>
      <c r="Q60" s="8"/>
    </row>
    <row r="61" spans="1:17" ht="20.25" x14ac:dyDescent="0.25">
      <c r="A61" s="2" t="s">
        <v>30</v>
      </c>
      <c r="B61" s="12" t="s">
        <v>47</v>
      </c>
      <c r="C61" s="12" t="s">
        <v>48</v>
      </c>
      <c r="D61" s="4" t="s">
        <v>38</v>
      </c>
      <c r="E61" s="11">
        <v>7</v>
      </c>
      <c r="F61" s="11">
        <v>1</v>
      </c>
      <c r="G61" s="11">
        <v>1</v>
      </c>
      <c r="H61" s="11">
        <v>1</v>
      </c>
      <c r="I61" s="11">
        <v>1</v>
      </c>
      <c r="J61" s="11">
        <v>2</v>
      </c>
      <c r="K61" s="11">
        <v>3</v>
      </c>
      <c r="L61" s="11">
        <v>0</v>
      </c>
      <c r="M61" s="11">
        <v>0</v>
      </c>
      <c r="N61" s="11">
        <v>0</v>
      </c>
      <c r="O61" s="11">
        <v>106</v>
      </c>
      <c r="P61" s="7">
        <v>122</v>
      </c>
      <c r="Q61" s="8"/>
    </row>
    <row r="62" spans="1:17" ht="18.75" hidden="1" x14ac:dyDescent="0.25">
      <c r="A62" s="2" t="s">
        <v>17</v>
      </c>
      <c r="B62" s="25" t="s">
        <v>32</v>
      </c>
      <c r="C62" s="12" t="s">
        <v>50</v>
      </c>
      <c r="D62" s="4" t="s">
        <v>51</v>
      </c>
      <c r="E62" s="33">
        <v>10</v>
      </c>
      <c r="F62" s="33">
        <v>1</v>
      </c>
      <c r="G62" s="33">
        <v>2</v>
      </c>
      <c r="H62" s="33">
        <v>1</v>
      </c>
      <c r="I62" s="33">
        <v>1</v>
      </c>
      <c r="J62" s="33">
        <v>4</v>
      </c>
      <c r="K62" s="33">
        <v>2</v>
      </c>
      <c r="L62" s="33">
        <v>9</v>
      </c>
      <c r="M62" s="33">
        <v>1</v>
      </c>
      <c r="N62" s="33">
        <v>0</v>
      </c>
      <c r="O62" s="33">
        <v>32</v>
      </c>
      <c r="P62" s="34">
        <f>SUM(E62:O62)</f>
        <v>63</v>
      </c>
      <c r="Q62" s="8"/>
    </row>
    <row r="63" spans="1:17" ht="18.75" hidden="1" x14ac:dyDescent="0.25">
      <c r="A63" s="2" t="s">
        <v>17</v>
      </c>
      <c r="B63" s="25" t="s">
        <v>32</v>
      </c>
      <c r="C63" s="8" t="s">
        <v>60</v>
      </c>
      <c r="D63" s="4" t="s">
        <v>51</v>
      </c>
      <c r="E63" s="33">
        <v>6</v>
      </c>
      <c r="F63" s="33">
        <v>3</v>
      </c>
      <c r="G63" s="33">
        <v>1</v>
      </c>
      <c r="H63" s="33">
        <v>0</v>
      </c>
      <c r="I63" s="33">
        <v>2</v>
      </c>
      <c r="J63" s="33">
        <v>0</v>
      </c>
      <c r="K63" s="33">
        <v>0</v>
      </c>
      <c r="L63" s="33">
        <v>12</v>
      </c>
      <c r="M63" s="33">
        <v>4</v>
      </c>
      <c r="N63" s="33">
        <v>1</v>
      </c>
      <c r="O63" s="33">
        <v>10</v>
      </c>
      <c r="P63" s="34">
        <f t="shared" ref="P63:P64" si="2">SUM(E63:O63)</f>
        <v>39</v>
      </c>
      <c r="Q63" s="8" t="s">
        <v>58</v>
      </c>
    </row>
    <row r="64" spans="1:17" ht="18.75" hidden="1" x14ac:dyDescent="0.25">
      <c r="A64" s="2" t="s">
        <v>17</v>
      </c>
      <c r="B64" s="25" t="s">
        <v>33</v>
      </c>
      <c r="C64" s="12" t="s">
        <v>50</v>
      </c>
      <c r="D64" s="4" t="s">
        <v>51</v>
      </c>
      <c r="E64" s="33">
        <v>9</v>
      </c>
      <c r="F64" s="33">
        <v>2</v>
      </c>
      <c r="G64" s="33">
        <v>3</v>
      </c>
      <c r="H64" s="33">
        <v>2</v>
      </c>
      <c r="I64" s="33">
        <v>1</v>
      </c>
      <c r="J64" s="33">
        <v>1</v>
      </c>
      <c r="K64" s="33">
        <v>2</v>
      </c>
      <c r="L64" s="33">
        <v>14</v>
      </c>
      <c r="M64" s="33">
        <v>1</v>
      </c>
      <c r="N64" s="33">
        <v>0</v>
      </c>
      <c r="O64" s="33">
        <v>33</v>
      </c>
      <c r="P64" s="34">
        <f t="shared" si="2"/>
        <v>68</v>
      </c>
      <c r="Q64" s="8"/>
    </row>
    <row r="65" spans="1:17" ht="18.75" hidden="1" x14ac:dyDescent="0.25">
      <c r="A65" s="2" t="s">
        <v>17</v>
      </c>
      <c r="B65" s="25" t="s">
        <v>33</v>
      </c>
      <c r="C65" s="8" t="s">
        <v>60</v>
      </c>
      <c r="D65" s="4" t="s">
        <v>51</v>
      </c>
      <c r="E65" s="33">
        <v>4</v>
      </c>
      <c r="F65" s="33">
        <v>2</v>
      </c>
      <c r="G65" s="33">
        <v>0</v>
      </c>
      <c r="H65" s="33">
        <v>1</v>
      </c>
      <c r="I65" s="33">
        <v>1</v>
      </c>
      <c r="J65" s="33">
        <v>1</v>
      </c>
      <c r="K65" s="33">
        <v>0</v>
      </c>
      <c r="L65" s="33">
        <v>3</v>
      </c>
      <c r="M65" s="33">
        <v>3</v>
      </c>
      <c r="N65" s="33">
        <v>0</v>
      </c>
      <c r="O65" s="33">
        <v>9</v>
      </c>
      <c r="P65" s="34">
        <f t="shared" ref="P65:P66" si="3">SUM(E65:O65)</f>
        <v>24</v>
      </c>
      <c r="Q65" s="8" t="s">
        <v>58</v>
      </c>
    </row>
    <row r="66" spans="1:17" ht="18.75" hidden="1" x14ac:dyDescent="0.25">
      <c r="A66" s="2" t="s">
        <v>17</v>
      </c>
      <c r="B66" s="25" t="s">
        <v>34</v>
      </c>
      <c r="C66" s="12" t="s">
        <v>50</v>
      </c>
      <c r="D66" s="4" t="s">
        <v>51</v>
      </c>
      <c r="E66" s="33">
        <v>9</v>
      </c>
      <c r="F66" s="33">
        <v>4</v>
      </c>
      <c r="G66" s="33">
        <v>0</v>
      </c>
      <c r="H66" s="33">
        <v>0</v>
      </c>
      <c r="I66" s="33">
        <v>1</v>
      </c>
      <c r="J66" s="33">
        <v>1</v>
      </c>
      <c r="K66" s="33">
        <v>2</v>
      </c>
      <c r="L66" s="33">
        <v>9</v>
      </c>
      <c r="M66" s="33">
        <v>2</v>
      </c>
      <c r="N66" s="33">
        <v>0</v>
      </c>
      <c r="O66" s="33">
        <v>20</v>
      </c>
      <c r="P66" s="34">
        <f t="shared" si="3"/>
        <v>48</v>
      </c>
      <c r="Q66" s="8"/>
    </row>
    <row r="67" spans="1:17" ht="18.75" hidden="1" x14ac:dyDescent="0.25">
      <c r="A67" s="2" t="s">
        <v>17</v>
      </c>
      <c r="B67" s="25" t="s">
        <v>34</v>
      </c>
      <c r="C67" s="8" t="s">
        <v>60</v>
      </c>
      <c r="D67" s="4" t="s">
        <v>51</v>
      </c>
      <c r="E67" s="33">
        <v>6</v>
      </c>
      <c r="F67" s="33">
        <v>1</v>
      </c>
      <c r="G67" s="33">
        <v>2</v>
      </c>
      <c r="H67" s="33">
        <v>1</v>
      </c>
      <c r="I67" s="33">
        <v>1</v>
      </c>
      <c r="J67" s="33">
        <v>1</v>
      </c>
      <c r="K67" s="33">
        <v>0</v>
      </c>
      <c r="L67" s="33">
        <v>12</v>
      </c>
      <c r="M67" s="33">
        <v>5</v>
      </c>
      <c r="N67" s="33">
        <v>3</v>
      </c>
      <c r="O67" s="33">
        <v>13</v>
      </c>
      <c r="P67" s="34">
        <f t="shared" ref="P67:P68" si="4">SUM(E67:O67)</f>
        <v>45</v>
      </c>
      <c r="Q67" s="8" t="s">
        <v>58</v>
      </c>
    </row>
    <row r="68" spans="1:17" ht="18.75" hidden="1" x14ac:dyDescent="0.25">
      <c r="A68" s="2" t="s">
        <v>17</v>
      </c>
      <c r="B68" s="25" t="s">
        <v>35</v>
      </c>
      <c r="C68" s="12" t="s">
        <v>50</v>
      </c>
      <c r="D68" s="4" t="s">
        <v>51</v>
      </c>
      <c r="E68" s="33">
        <v>7</v>
      </c>
      <c r="F68" s="33">
        <v>2</v>
      </c>
      <c r="G68" s="33">
        <v>3</v>
      </c>
      <c r="H68" s="33">
        <v>1</v>
      </c>
      <c r="I68" s="33">
        <v>0</v>
      </c>
      <c r="J68" s="33">
        <v>1</v>
      </c>
      <c r="K68" s="33">
        <v>2</v>
      </c>
      <c r="L68" s="33">
        <v>6</v>
      </c>
      <c r="M68" s="33">
        <v>0</v>
      </c>
      <c r="N68" s="33">
        <v>0</v>
      </c>
      <c r="O68" s="33">
        <v>20</v>
      </c>
      <c r="P68" s="34">
        <f t="shared" si="4"/>
        <v>42</v>
      </c>
      <c r="Q68" s="8"/>
    </row>
    <row r="69" spans="1:17" ht="18.75" hidden="1" x14ac:dyDescent="0.25">
      <c r="A69" s="2" t="s">
        <v>17</v>
      </c>
      <c r="B69" s="25" t="s">
        <v>35</v>
      </c>
      <c r="C69" s="8" t="s">
        <v>60</v>
      </c>
      <c r="D69" s="4" t="s">
        <v>51</v>
      </c>
      <c r="E69" s="33">
        <v>6</v>
      </c>
      <c r="F69" s="33">
        <v>3</v>
      </c>
      <c r="G69" s="33">
        <v>0</v>
      </c>
      <c r="H69" s="33">
        <v>1</v>
      </c>
      <c r="I69" s="33">
        <v>1</v>
      </c>
      <c r="J69" s="33">
        <v>2</v>
      </c>
      <c r="K69" s="33">
        <v>0</v>
      </c>
      <c r="L69" s="33">
        <v>12</v>
      </c>
      <c r="M69" s="33">
        <v>5</v>
      </c>
      <c r="N69" s="33">
        <v>2</v>
      </c>
      <c r="O69" s="33">
        <v>17</v>
      </c>
      <c r="P69" s="34">
        <f t="shared" ref="P69:P70" si="5">SUM(E69:O69)</f>
        <v>49</v>
      </c>
      <c r="Q69" s="8" t="s">
        <v>58</v>
      </c>
    </row>
    <row r="70" spans="1:17" ht="18.75" hidden="1" x14ac:dyDescent="0.25">
      <c r="A70" s="2" t="s">
        <v>17</v>
      </c>
      <c r="B70" s="26" t="s">
        <v>36</v>
      </c>
      <c r="C70" s="12" t="s">
        <v>50</v>
      </c>
      <c r="D70" s="4" t="s">
        <v>51</v>
      </c>
      <c r="E70" s="33">
        <v>6</v>
      </c>
      <c r="F70" s="33">
        <v>4</v>
      </c>
      <c r="G70" s="33">
        <v>3</v>
      </c>
      <c r="H70" s="33">
        <v>1</v>
      </c>
      <c r="I70" s="33">
        <v>1</v>
      </c>
      <c r="J70" s="33">
        <v>2</v>
      </c>
      <c r="K70" s="33">
        <v>1</v>
      </c>
      <c r="L70" s="33">
        <v>9</v>
      </c>
      <c r="M70" s="33">
        <v>0</v>
      </c>
      <c r="N70" s="33">
        <v>0</v>
      </c>
      <c r="O70" s="33">
        <v>25</v>
      </c>
      <c r="P70" s="34">
        <f t="shared" si="5"/>
        <v>52</v>
      </c>
      <c r="Q70" s="8"/>
    </row>
    <row r="71" spans="1:17" ht="18.75" hidden="1" x14ac:dyDescent="0.25">
      <c r="A71" s="2" t="s">
        <v>17</v>
      </c>
      <c r="B71" s="26" t="s">
        <v>36</v>
      </c>
      <c r="C71" s="8" t="s">
        <v>60</v>
      </c>
      <c r="D71" s="4" t="s">
        <v>51</v>
      </c>
      <c r="E71" s="33">
        <v>5</v>
      </c>
      <c r="F71" s="33">
        <v>0</v>
      </c>
      <c r="G71" s="33">
        <v>0</v>
      </c>
      <c r="H71" s="33">
        <v>0</v>
      </c>
      <c r="I71" s="33">
        <v>1</v>
      </c>
      <c r="J71" s="33">
        <v>1</v>
      </c>
      <c r="K71" s="33">
        <v>0</v>
      </c>
      <c r="L71" s="33">
        <v>8</v>
      </c>
      <c r="M71" s="33">
        <v>4</v>
      </c>
      <c r="N71" s="33">
        <v>3</v>
      </c>
      <c r="O71" s="33">
        <v>5</v>
      </c>
      <c r="P71" s="34">
        <f t="shared" ref="P71:P73" si="6">SUM(E71:O71)</f>
        <v>27</v>
      </c>
      <c r="Q71" s="8" t="s">
        <v>58</v>
      </c>
    </row>
    <row r="72" spans="1:17" ht="18.75" hidden="1" x14ac:dyDescent="0.25">
      <c r="A72" s="2" t="s">
        <v>29</v>
      </c>
      <c r="B72" s="28" t="s">
        <v>39</v>
      </c>
      <c r="C72" s="12" t="s">
        <v>50</v>
      </c>
      <c r="D72" s="4" t="s">
        <v>51</v>
      </c>
      <c r="E72" s="20">
        <v>14</v>
      </c>
      <c r="F72" s="20">
        <v>4</v>
      </c>
      <c r="G72" s="20">
        <v>3</v>
      </c>
      <c r="H72" s="20">
        <v>2</v>
      </c>
      <c r="I72" s="20">
        <v>2</v>
      </c>
      <c r="J72" s="20">
        <v>3</v>
      </c>
      <c r="K72" s="20">
        <v>0</v>
      </c>
      <c r="L72" s="20">
        <v>18</v>
      </c>
      <c r="M72" s="20">
        <v>0</v>
      </c>
      <c r="N72" s="20">
        <v>0</v>
      </c>
      <c r="O72" s="20">
        <v>48</v>
      </c>
      <c r="P72" s="21">
        <f t="shared" si="6"/>
        <v>94</v>
      </c>
      <c r="Q72" s="8"/>
    </row>
    <row r="73" spans="1:17" ht="18.75" hidden="1" x14ac:dyDescent="0.25">
      <c r="A73" s="2" t="s">
        <v>29</v>
      </c>
      <c r="B73" s="28" t="s">
        <v>39</v>
      </c>
      <c r="C73" s="8" t="s">
        <v>60</v>
      </c>
      <c r="D73" s="4" t="s">
        <v>51</v>
      </c>
      <c r="E73" s="20">
        <v>6</v>
      </c>
      <c r="F73" s="20">
        <v>2</v>
      </c>
      <c r="G73" s="20">
        <v>1</v>
      </c>
      <c r="H73" s="20">
        <v>1</v>
      </c>
      <c r="I73" s="20">
        <v>1</v>
      </c>
      <c r="J73" s="20">
        <v>1</v>
      </c>
      <c r="K73" s="20">
        <v>0</v>
      </c>
      <c r="L73" s="20">
        <v>9</v>
      </c>
      <c r="M73" s="20">
        <v>5</v>
      </c>
      <c r="N73" s="20">
        <v>4</v>
      </c>
      <c r="O73" s="20">
        <v>14</v>
      </c>
      <c r="P73" s="21">
        <f t="shared" si="6"/>
        <v>44</v>
      </c>
      <c r="Q73" s="8" t="s">
        <v>58</v>
      </c>
    </row>
    <row r="74" spans="1:17" ht="18.75" hidden="1" x14ac:dyDescent="0.25">
      <c r="A74" s="2" t="s">
        <v>29</v>
      </c>
      <c r="B74" s="28" t="s">
        <v>40</v>
      </c>
      <c r="C74" s="12" t="s">
        <v>50</v>
      </c>
      <c r="D74" s="4" t="s">
        <v>51</v>
      </c>
      <c r="E74" s="20">
        <v>16</v>
      </c>
      <c r="F74" s="20">
        <v>1</v>
      </c>
      <c r="G74" s="20">
        <v>0</v>
      </c>
      <c r="H74" s="20">
        <v>1</v>
      </c>
      <c r="I74" s="20">
        <v>2</v>
      </c>
      <c r="J74" s="20">
        <v>4</v>
      </c>
      <c r="K74" s="20">
        <v>3</v>
      </c>
      <c r="L74" s="20">
        <v>16</v>
      </c>
      <c r="M74" s="20">
        <v>1</v>
      </c>
      <c r="N74" s="20">
        <v>0</v>
      </c>
      <c r="O74" s="20">
        <v>45</v>
      </c>
      <c r="P74" s="21">
        <f t="shared" ref="P74:P75" si="7">SUM(E74:O74)</f>
        <v>89</v>
      </c>
      <c r="Q74" s="8"/>
    </row>
    <row r="75" spans="1:17" ht="18.75" hidden="1" x14ac:dyDescent="0.25">
      <c r="A75" s="2" t="s">
        <v>29</v>
      </c>
      <c r="B75" s="28" t="s">
        <v>40</v>
      </c>
      <c r="C75" s="8" t="s">
        <v>60</v>
      </c>
      <c r="D75" s="4" t="s">
        <v>51</v>
      </c>
      <c r="E75" s="20">
        <v>5</v>
      </c>
      <c r="F75" s="20">
        <v>5</v>
      </c>
      <c r="G75" s="20">
        <v>2</v>
      </c>
      <c r="H75" s="20">
        <v>1</v>
      </c>
      <c r="I75" s="20">
        <v>0</v>
      </c>
      <c r="J75" s="20">
        <v>0</v>
      </c>
      <c r="K75" s="20">
        <v>0</v>
      </c>
      <c r="L75" s="20">
        <v>13</v>
      </c>
      <c r="M75" s="20">
        <v>5</v>
      </c>
      <c r="N75" s="20">
        <v>7</v>
      </c>
      <c r="O75" s="20">
        <v>11</v>
      </c>
      <c r="P75" s="21">
        <f t="shared" si="7"/>
        <v>49</v>
      </c>
      <c r="Q75" s="8" t="s">
        <v>58</v>
      </c>
    </row>
    <row r="76" spans="1:17" ht="18.75" hidden="1" x14ac:dyDescent="0.25">
      <c r="A76" s="2" t="s">
        <v>29</v>
      </c>
      <c r="B76" s="28" t="s">
        <v>41</v>
      </c>
      <c r="C76" s="12" t="s">
        <v>50</v>
      </c>
      <c r="D76" s="4" t="s">
        <v>51</v>
      </c>
      <c r="E76" s="20">
        <v>6</v>
      </c>
      <c r="F76" s="20">
        <v>3</v>
      </c>
      <c r="G76" s="20">
        <v>1</v>
      </c>
      <c r="H76" s="20">
        <v>0</v>
      </c>
      <c r="I76" s="20">
        <v>2</v>
      </c>
      <c r="J76" s="20">
        <v>1</v>
      </c>
      <c r="K76" s="20">
        <v>2</v>
      </c>
      <c r="L76" s="20">
        <v>9</v>
      </c>
      <c r="M76" s="20">
        <v>0</v>
      </c>
      <c r="N76" s="20">
        <v>0</v>
      </c>
      <c r="O76" s="20">
        <v>18</v>
      </c>
      <c r="P76" s="21">
        <f t="shared" ref="P76:P77" si="8">SUM(E76:O76)</f>
        <v>42</v>
      </c>
      <c r="Q76" s="8"/>
    </row>
    <row r="77" spans="1:17" ht="18.75" hidden="1" x14ac:dyDescent="0.25">
      <c r="A77" s="2" t="s">
        <v>29</v>
      </c>
      <c r="B77" s="28" t="s">
        <v>41</v>
      </c>
      <c r="C77" s="8" t="s">
        <v>60</v>
      </c>
      <c r="D77" s="4" t="s">
        <v>51</v>
      </c>
      <c r="E77" s="20">
        <v>6</v>
      </c>
      <c r="F77" s="20">
        <v>2</v>
      </c>
      <c r="G77" s="20">
        <v>1</v>
      </c>
      <c r="H77" s="20">
        <v>0</v>
      </c>
      <c r="I77" s="20">
        <v>0</v>
      </c>
      <c r="J77" s="20">
        <v>2</v>
      </c>
      <c r="K77" s="20">
        <v>0</v>
      </c>
      <c r="L77" s="20">
        <v>11</v>
      </c>
      <c r="M77" s="20">
        <v>5</v>
      </c>
      <c r="N77" s="20">
        <v>3</v>
      </c>
      <c r="O77" s="20">
        <v>12</v>
      </c>
      <c r="P77" s="21">
        <f t="shared" si="8"/>
        <v>42</v>
      </c>
      <c r="Q77" s="8" t="s">
        <v>58</v>
      </c>
    </row>
    <row r="78" spans="1:17" ht="18.75" hidden="1" x14ac:dyDescent="0.25">
      <c r="A78" s="2" t="s">
        <v>29</v>
      </c>
      <c r="B78" s="28" t="s">
        <v>42</v>
      </c>
      <c r="C78" s="12" t="s">
        <v>50</v>
      </c>
      <c r="D78" s="4" t="s">
        <v>51</v>
      </c>
      <c r="E78" s="20">
        <v>7</v>
      </c>
      <c r="F78" s="20">
        <v>1</v>
      </c>
      <c r="G78" s="20">
        <v>1</v>
      </c>
      <c r="H78" s="20">
        <v>1</v>
      </c>
      <c r="I78" s="20">
        <v>1</v>
      </c>
      <c r="J78" s="20">
        <v>3</v>
      </c>
      <c r="K78" s="20">
        <v>3</v>
      </c>
      <c r="L78" s="20">
        <v>12</v>
      </c>
      <c r="M78" s="20">
        <v>0</v>
      </c>
      <c r="N78" s="20">
        <v>0</v>
      </c>
      <c r="O78" s="20">
        <v>24</v>
      </c>
      <c r="P78" s="21">
        <f t="shared" ref="P78:P79" si="9">SUM(E78:O78)</f>
        <v>53</v>
      </c>
      <c r="Q78" s="8"/>
    </row>
    <row r="79" spans="1:17" ht="18.75" hidden="1" x14ac:dyDescent="0.25">
      <c r="A79" s="2" t="s">
        <v>29</v>
      </c>
      <c r="B79" s="28" t="s">
        <v>42</v>
      </c>
      <c r="C79" s="8" t="s">
        <v>60</v>
      </c>
      <c r="D79" s="4" t="s">
        <v>51</v>
      </c>
      <c r="E79" s="20">
        <v>7</v>
      </c>
      <c r="F79" s="20">
        <v>2</v>
      </c>
      <c r="G79" s="20">
        <v>1</v>
      </c>
      <c r="H79" s="20">
        <v>0</v>
      </c>
      <c r="I79" s="20">
        <v>0</v>
      </c>
      <c r="J79" s="20">
        <v>0</v>
      </c>
      <c r="K79" s="20">
        <v>0</v>
      </c>
      <c r="L79" s="20">
        <v>10</v>
      </c>
      <c r="M79" s="20">
        <v>4</v>
      </c>
      <c r="N79" s="20">
        <v>2</v>
      </c>
      <c r="O79" s="20">
        <v>13</v>
      </c>
      <c r="P79" s="21">
        <f t="shared" si="9"/>
        <v>39</v>
      </c>
      <c r="Q79" s="8" t="s">
        <v>58</v>
      </c>
    </row>
    <row r="80" spans="1:17" ht="18.75" x14ac:dyDescent="0.25">
      <c r="A80" s="2" t="s">
        <v>30</v>
      </c>
      <c r="B80" s="12" t="s">
        <v>45</v>
      </c>
      <c r="C80" s="12" t="s">
        <v>50</v>
      </c>
      <c r="D80" s="4" t="s">
        <v>51</v>
      </c>
      <c r="E80" s="36">
        <v>0</v>
      </c>
      <c r="F80" s="36">
        <v>1</v>
      </c>
      <c r="G80" s="36">
        <v>1</v>
      </c>
      <c r="H80" s="36">
        <v>0</v>
      </c>
      <c r="I80" s="36">
        <v>1</v>
      </c>
      <c r="J80" s="36">
        <v>0</v>
      </c>
      <c r="K80" s="36">
        <v>0</v>
      </c>
      <c r="L80" s="36">
        <v>8</v>
      </c>
      <c r="M80" s="36">
        <v>0</v>
      </c>
      <c r="N80" s="36">
        <v>0</v>
      </c>
      <c r="O80" s="36">
        <v>2</v>
      </c>
      <c r="P80" s="37">
        <f t="shared" ref="P80:P85" si="10">SUM(E80:O80)</f>
        <v>13</v>
      </c>
      <c r="Q80" s="8"/>
    </row>
    <row r="81" spans="1:17" ht="18.75" x14ac:dyDescent="0.25">
      <c r="A81" s="2" t="s">
        <v>30</v>
      </c>
      <c r="B81" s="12" t="s">
        <v>45</v>
      </c>
      <c r="C81" s="8" t="s">
        <v>60</v>
      </c>
      <c r="D81" s="4" t="s">
        <v>51</v>
      </c>
      <c r="E81" s="36">
        <v>10</v>
      </c>
      <c r="F81" s="36">
        <v>3</v>
      </c>
      <c r="G81" s="36">
        <v>1</v>
      </c>
      <c r="H81" s="36">
        <v>1</v>
      </c>
      <c r="I81" s="36">
        <v>0</v>
      </c>
      <c r="J81" s="36">
        <v>1</v>
      </c>
      <c r="K81" s="36">
        <v>1</v>
      </c>
      <c r="L81" s="36">
        <v>12</v>
      </c>
      <c r="M81" s="36">
        <v>5</v>
      </c>
      <c r="N81" s="36">
        <v>11</v>
      </c>
      <c r="O81" s="36">
        <v>21</v>
      </c>
      <c r="P81" s="37">
        <f t="shared" si="10"/>
        <v>66</v>
      </c>
      <c r="Q81" s="8" t="s">
        <v>58</v>
      </c>
    </row>
    <row r="82" spans="1:17" ht="20.25" x14ac:dyDescent="0.25">
      <c r="A82" s="2" t="s">
        <v>30</v>
      </c>
      <c r="B82" s="12" t="s">
        <v>46</v>
      </c>
      <c r="C82" s="12" t="s">
        <v>50</v>
      </c>
      <c r="D82" s="4" t="s">
        <v>51</v>
      </c>
      <c r="E82" s="39">
        <v>0</v>
      </c>
      <c r="F82" s="39">
        <v>2</v>
      </c>
      <c r="G82" s="39">
        <v>1</v>
      </c>
      <c r="H82" s="39">
        <v>0</v>
      </c>
      <c r="I82" s="39">
        <v>4</v>
      </c>
      <c r="J82" s="39">
        <v>0</v>
      </c>
      <c r="K82" s="39">
        <v>1</v>
      </c>
      <c r="L82" s="39">
        <v>10</v>
      </c>
      <c r="M82" s="39">
        <v>0</v>
      </c>
      <c r="N82" s="39">
        <v>0</v>
      </c>
      <c r="O82" s="39">
        <v>4</v>
      </c>
      <c r="P82" s="37">
        <f t="shared" si="10"/>
        <v>22</v>
      </c>
      <c r="Q82" s="8"/>
    </row>
    <row r="83" spans="1:17" ht="20.25" x14ac:dyDescent="0.25">
      <c r="A83" s="2" t="s">
        <v>30</v>
      </c>
      <c r="B83" s="12" t="s">
        <v>46</v>
      </c>
      <c r="C83" s="8" t="s">
        <v>60</v>
      </c>
      <c r="D83" s="4" t="s">
        <v>51</v>
      </c>
      <c r="E83" s="41">
        <v>13</v>
      </c>
      <c r="F83" s="41">
        <v>2</v>
      </c>
      <c r="G83" s="41">
        <v>2</v>
      </c>
      <c r="H83" s="41">
        <v>1</v>
      </c>
      <c r="I83" s="41">
        <v>0</v>
      </c>
      <c r="J83" s="41">
        <v>1</v>
      </c>
      <c r="K83" s="41">
        <v>1</v>
      </c>
      <c r="L83" s="41">
        <v>13</v>
      </c>
      <c r="M83" s="41">
        <v>8</v>
      </c>
      <c r="N83" s="41">
        <v>14</v>
      </c>
      <c r="O83" s="41">
        <v>29</v>
      </c>
      <c r="P83" s="37">
        <f t="shared" si="10"/>
        <v>84</v>
      </c>
      <c r="Q83" s="8" t="s">
        <v>58</v>
      </c>
    </row>
    <row r="84" spans="1:17" ht="20.25" x14ac:dyDescent="0.25">
      <c r="A84" s="2" t="s">
        <v>30</v>
      </c>
      <c r="B84" s="27" t="s">
        <v>43</v>
      </c>
      <c r="C84" s="12" t="s">
        <v>50</v>
      </c>
      <c r="D84" s="4" t="s">
        <v>51</v>
      </c>
      <c r="E84" s="10">
        <v>0</v>
      </c>
      <c r="F84" s="10">
        <v>1</v>
      </c>
      <c r="G84" s="10">
        <v>0</v>
      </c>
      <c r="H84" s="10">
        <v>0</v>
      </c>
      <c r="I84" s="10">
        <v>1</v>
      </c>
      <c r="J84" s="10">
        <v>1</v>
      </c>
      <c r="K84" s="10">
        <v>0</v>
      </c>
      <c r="L84" s="10">
        <v>6</v>
      </c>
      <c r="M84" s="10">
        <v>0</v>
      </c>
      <c r="N84" s="10">
        <v>0</v>
      </c>
      <c r="O84" s="10">
        <v>3</v>
      </c>
      <c r="P84" s="37">
        <f t="shared" si="10"/>
        <v>12</v>
      </c>
      <c r="Q84" s="8"/>
    </row>
    <row r="85" spans="1:17" ht="20.25" x14ac:dyDescent="0.25">
      <c r="A85" s="2" t="s">
        <v>30</v>
      </c>
      <c r="B85" s="27" t="s">
        <v>43</v>
      </c>
      <c r="C85" s="8" t="s">
        <v>60</v>
      </c>
      <c r="D85" s="4" t="s">
        <v>51</v>
      </c>
      <c r="E85" s="10">
        <v>10</v>
      </c>
      <c r="F85" s="10">
        <v>1</v>
      </c>
      <c r="G85" s="10">
        <v>2</v>
      </c>
      <c r="H85" s="10">
        <v>0</v>
      </c>
      <c r="I85" s="10">
        <v>2</v>
      </c>
      <c r="J85" s="10">
        <v>2</v>
      </c>
      <c r="K85" s="10">
        <v>2</v>
      </c>
      <c r="L85" s="10">
        <v>12</v>
      </c>
      <c r="M85" s="10">
        <v>4</v>
      </c>
      <c r="N85" s="38">
        <v>8</v>
      </c>
      <c r="O85" s="38">
        <v>25</v>
      </c>
      <c r="P85" s="37">
        <f t="shared" si="10"/>
        <v>68</v>
      </c>
      <c r="Q85" s="8" t="s">
        <v>58</v>
      </c>
    </row>
  </sheetData>
  <autoFilter ref="A1:Q85" xr:uid="{AAF36A4E-756E-480F-94E4-598988175605}">
    <filterColumn colId="0">
      <filters>
        <filter val="PRC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III</vt:lpstr>
      <vt:lpstr>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asstgmanagerned</dc:creator>
  <cp:lastModifiedBy>asstgmanagerned</cp:lastModifiedBy>
  <dcterms:created xsi:type="dcterms:W3CDTF">2026-05-30T03:20:25Z</dcterms:created>
  <dcterms:modified xsi:type="dcterms:W3CDTF">2026-06-20T05:50:03Z</dcterms:modified>
</cp:coreProperties>
</file>